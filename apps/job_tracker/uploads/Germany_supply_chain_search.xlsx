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abhay1703/Desktop/Todays Folder/"/>
    </mc:Choice>
  </mc:AlternateContent>
  <xr:revisionPtr revIDLastSave="0" documentId="13_ncr:9_{E7A2F650-8D36-B841-A082-206B0E8E5746}" xr6:coauthVersionLast="47" xr6:coauthVersionMax="47" xr10:uidLastSave="{00000000-0000-0000-0000-000000000000}"/>
  <bookViews>
    <workbookView xWindow="600" yWindow="1140" windowWidth="28040" windowHeight="17160" xr2:uid="{1A4CD16D-4720-2A46-8754-01C8802520AC}"/>
  </bookViews>
  <sheets>
    <sheet name="crunchbase-export-177952193237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8" i="1" l="1"/>
  <c r="P28" i="1"/>
  <c r="P57" i="1"/>
  <c r="P68" i="1"/>
  <c r="P73" i="1"/>
  <c r="P90" i="1"/>
  <c r="P104" i="1"/>
  <c r="P109" i="1"/>
  <c r="P111" i="1"/>
  <c r="P116" i="1"/>
  <c r="P117" i="1"/>
  <c r="P133" i="1"/>
  <c r="P136" i="1"/>
  <c r="P149" i="1"/>
  <c r="P239" i="1"/>
  <c r="P245" i="1"/>
  <c r="P286" i="1"/>
  <c r="P302" i="1"/>
  <c r="P305" i="1"/>
  <c r="P368" i="1"/>
  <c r="P383" i="1"/>
  <c r="P385" i="1"/>
  <c r="P389" i="1"/>
  <c r="P394" i="1"/>
  <c r="P406" i="1"/>
  <c r="P418" i="1"/>
  <c r="P419" i="1"/>
  <c r="P425" i="1"/>
  <c r="P437" i="1"/>
  <c r="P443" i="1"/>
  <c r="P463" i="1"/>
  <c r="P465" i="1"/>
  <c r="P470" i="1"/>
  <c r="P495" i="1"/>
</calcChain>
</file>

<file path=xl/sharedStrings.xml><?xml version="1.0" encoding="utf-8"?>
<sst xmlns="http://schemas.openxmlformats.org/spreadsheetml/2006/main" count="7803" uniqueCount="4834">
  <si>
    <t>name</t>
  </si>
  <si>
    <t>permalink</t>
  </si>
  <si>
    <t>uuid</t>
  </si>
  <si>
    <t>operating_status</t>
  </si>
  <si>
    <t>company_type</t>
  </si>
  <si>
    <t>ipo_status</t>
  </si>
  <si>
    <t>founded_on</t>
  </si>
  <si>
    <t>num_employees</t>
  </si>
  <si>
    <t>short_description</t>
  </si>
  <si>
    <t>full_description</t>
  </si>
  <si>
    <t>linkedin</t>
  </si>
  <si>
    <t>twitter</t>
  </si>
  <si>
    <t>facebook</t>
  </si>
  <si>
    <t>website</t>
  </si>
  <si>
    <t>contact_email</t>
  </si>
  <si>
    <t>phone_number</t>
  </si>
  <si>
    <t>founders</t>
  </si>
  <si>
    <t>last_funding_type</t>
  </si>
  <si>
    <t>last_funding_date</t>
  </si>
  <si>
    <t>total_funding_usd</t>
  </si>
  <si>
    <t>num_funding_rounds</t>
  </si>
  <si>
    <t>investors</t>
  </si>
  <si>
    <t>hub_tags</t>
  </si>
  <si>
    <t>rank</t>
  </si>
  <si>
    <t>categories</t>
  </si>
  <si>
    <t>city</t>
  </si>
  <si>
    <t>country</t>
  </si>
  <si>
    <t>departments</t>
  </si>
  <si>
    <t>MUVN</t>
  </si>
  <si>
    <t>muvn-db9f</t>
  </si>
  <si>
    <t>be2cffa9-c42b-4ff7-83f2-c3e6097cdb9f</t>
  </si>
  <si>
    <t>active</t>
  </si>
  <si>
    <t>private</t>
  </si>
  <si>
    <t>c_00011_00050</t>
  </si>
  <si>
    <t>Europe's missing logistics layer. Crowdshipping marketplace connecting senders of bulky goods with drivers who have unused vehicle capacity.</t>
  </si>
  <si>
    <t>MUVN is building Europe's missing logistics layer. The platform operates as a two-sided crowdshipping marketplace that matches senders of bulky, fragile, or urgent goods with verified drivers who have unused cargo space on routes they already drive. Think carpooling, but for items instead of people. The Problem Over 30% of vehicles on European roads drive with empty cargo space. At the same time, shipping anything larger than a standard parcel remains expensive, slow, and fully offline. The EUR 25B European bulky goods segment has zero digital infrastructure. 55% of Germans now buy and sell used goods online, but there is no affordable transport layer for these transactions. The Solution MUVN's matching algorithm connects supply (drivers with free capacity) and demand (senders needing affordable transport) in real time. The platform includes integrated insurance, verified users via KYC/KYB, real-time GPS tracking, and in-app communication in 11 languages. Senders save up to 80% compared to traditional logistics. Drivers earn incremental income without detours. Two platforms, one network. MUVN serves private senders through its consumer marketplace, generating driver liquidity and organic demand. MUVN Pro extends the platform to SMEs and e-commerce merchants via API integrations with Shopify, Shopware, and WooCommerce, enabling recurring B2B shipments. Market European re-commerce is a EUR 103B market growing 15%+ YoY with no transport layer for bulky items. Adjacent markets include European last-mile delivery (EUR 38B+) and the EUR 6.9B annual moving market in Germany alone. Currently active in Germany with expansion planned across DACH and CEE. Competitive Landscape Roadie validated the crowdshipping model in the US before being acquired by UPS. Brenger serves the Netherlands with professional couriers. MUVN is the only European platform combining everyday drivers with professional logistics operators, circular economy positioning, and a B2B marketplace API.</t>
  </si>
  <si>
    <t>https://www.linkedin.com/company/muvn/</t>
  </si>
  <si>
    <t>https://www.muvn.de/</t>
  </si>
  <si>
    <t>katharina@muvn.de</t>
  </si>
  <si>
    <t>Emre Aydin; Katharina Kreutzer; Massimo Sabatino</t>
  </si>
  <si>
    <t>Android; B2B; Car Sharing; E-Commerce; iOS; Mobile Apps; Ride Sharing; SaaS; Sharing Economy; Supply Chain Management</t>
  </si>
  <si>
    <t>Hamburg</t>
  </si>
  <si>
    <t>Germany</t>
  </si>
  <si>
    <t>repath</t>
  </si>
  <si>
    <t>18493c63-522e-45d2-9bf1-fdfbc6310046</t>
  </si>
  <si>
    <t>Identify, understand and act on climate risks decades before they happen with repath's SaaS-solution.</t>
  </si>
  <si>
    <t>Repath Identifies and manages climate risks with SaaS solution. The platform for climate risk and adaptation is a location-specific, user-friendly, fully functional automated SaaS solution that would allow the company to forecast the future physical climate risks, comprehend the particulars vulnerabilities of the assets, as well as the necessary measures of adaptation to mitigate the identified dangers. Its customers can access the translated climate data into easy-to-understand aggregated results via repath¬¥s platform or via API.</t>
  </si>
  <si>
    <t>https://www.linkedin.com/company/repathnow</t>
  </si>
  <si>
    <t>https://www.repath.earth</t>
  </si>
  <si>
    <t>hello@repath.earth</t>
  </si>
  <si>
    <t>Julius Pr√∂ll</t>
  </si>
  <si>
    <t>GreenTech; Infrastructure; Software; Supply Chain Management</t>
  </si>
  <si>
    <t>engineering; management; operations</t>
  </si>
  <si>
    <t>Yolda</t>
  </si>
  <si>
    <t>yolda</t>
  </si>
  <si>
    <t>67b0ee98-cd26-4737-8baa-0cf72687e870</t>
  </si>
  <si>
    <t>Yolda is a logistis company that combines advanced tech and data analytics, logistics infrastructure, and supply chain expertise.</t>
  </si>
  <si>
    <t>Logistic operations still largely run on paper. It is almost impossible to track the vast majority of loads, receive delivery documents or measure how successful the operation is. Yolda.com is changing this with a strategic operating model that combines advanced tech and data analytics, logistics infrastructure, and hands-on supply chain expertise. Yolda.com combines the quality of cargo transportation with the diversity of haulier and the integrated service model of 3PL companies and offers a high-quality logistics experience by focusing on its customers. Yolda.com‚Äôs marketplace solution encompasses many local forwarders and logistics companies, enabling SMEs and corporate enterprises to receive an instant quote for multiple shipment requests on a single platform. Companies can also track their shipments via Yolda.com's intelligent control panel and measure their logistics operations performance with detailed reporting services.</t>
  </si>
  <si>
    <t>https://www.linkedin.com/company/yoldacom</t>
  </si>
  <si>
    <t>[object Object]</t>
  </si>
  <si>
    <t>https://www.yolda.com</t>
  </si>
  <si>
    <t>info@yolda.com</t>
  </si>
  <si>
    <t>C. Murad √ñzsert; Volkan √ñzkan</t>
  </si>
  <si>
    <t>Analytics; Freight Service; Logistics; Supply Chain Management; Transportation</t>
  </si>
  <si>
    <t>SupplyET</t>
  </si>
  <si>
    <t>supplyet</t>
  </si>
  <si>
    <t>ea72541c-6499-4930-b470-5d3d33260426</t>
  </si>
  <si>
    <t>c_00001_00010</t>
  </si>
  <si>
    <t>SupplyET enables manufacturers to plan, simulate, and optimize production networks with visual, AI-powered plug-and-play software</t>
  </si>
  <si>
    <t>SupplyET is a deep-tech startup in supply chain planning. Its visual, AI-powered plug-and-play software enables manufacturers to plan capacities more efficiently, adapt flexibly to the market, and build robust, resilient production networks. Utilizing a no-code approach for intuitive scenario modeling, SupplyET's custom AI, recognized by the German Federal Ministry of Education and Research, optimizes machine allocation in seconds. Proven at 40+ locations, the software makes planning four times faster, increases sales, reduces investment needs, and contributes to sustainability. The company was founded in 2022 in D√ºsseldorf, Germany, has conducted a major seed financing round in 2024, and is headquartered in Hamburg at the Digital Hub Logistics &amp; Commerce.</t>
  </si>
  <si>
    <t>https://www.linkedin.com/company/supplyet/</t>
  </si>
  <si>
    <t>https://SupplyET.com</t>
  </si>
  <si>
    <t>contact@SupplyET.com</t>
  </si>
  <si>
    <t>+49 151 23157163</t>
  </si>
  <si>
    <t>Christian Hochmuth; Matthias Br√∂nner</t>
  </si>
  <si>
    <t>Enterprise Software; Information Technology; Manufacturing; SaaS; Software; Supply Chain Management</t>
  </si>
  <si>
    <t>BOXXPORT</t>
  </si>
  <si>
    <t>boxxport</t>
  </si>
  <si>
    <t>aa5899d2-73ab-424e-a258-36d7017ebd8a</t>
  </si>
  <si>
    <t>BOXXPORT provides an oppurtunity to buy, sell, lease, auction and manage shipping containers online.</t>
  </si>
  <si>
    <t>BOXXPORT.com is the world‚Äôs leading B2B marketplace for trading sea containers. Using real-time data on container availability and price, sea containers can be traded in 184 countries around the world, no matter where they are located ‚Äì whether in port, on a construction site, or on a company‚Äôs premises. BOXXPORT creates complete transparency for local traders in the container services industry, partnered with industrial companies up to globally operating freight forwarders. For the first time trade can take place in a secure and transparent digital platform. The global trade with containers thus becomes faster, more efficient, and more convenient. Since going live in July 2019, BOXXPORT has managed to grow steadily and exponentially increase the trade of containers on its B2B marketplace. The Hamburg-based startup was founded by industry experts who have been successfully working in the container industry for decades and therefore knows the immense opportunities, but also the current and upcoming challenges of this market.</t>
  </si>
  <si>
    <t>https://www.linkedin.com/company/boxxport/</t>
  </si>
  <si>
    <t>https://www.boxxport.com</t>
  </si>
  <si>
    <t>hello@boxxport.com</t>
  </si>
  <si>
    <t>+49 40 311 71 25 0</t>
  </si>
  <si>
    <t>Jan Frahnert; Paul Wolter; Priya Ranjan</t>
  </si>
  <si>
    <t>B2B; E-Commerce; Logistics; Marketplace; Shipping; Supply Chain Management</t>
  </si>
  <si>
    <t>management; product</t>
  </si>
  <si>
    <t>Logward</t>
  </si>
  <si>
    <t>logward</t>
  </si>
  <si>
    <t>496f473f-77f7-4bfb-bd6b-c657e8ccc8fa</t>
  </si>
  <si>
    <t>c_00051_00100</t>
  </si>
  <si>
    <t>Logward offers a Supply Chain Orchestration Control Tower.</t>
  </si>
  <si>
    <t>Logward is a no-code cloud platform that allows shippers and beneficial cargo owners to configure their end-to-end Orchestration Control Tower connecting stakeholders and integrating standalone features. As a logistics technology company Logward is run by supply chain experts and top rate developers. We offer an Orchestration Control Tower, ensuring end-to-end visibility as well as control over freight shipments through cloud based solutions. We help shippers manage FCL, LCL, air, and overland transports while reducing unplanned costs like detention &amp; demurrage, improving invoice accuracy, monitoring allocations and capacity, and much, much, more. From your containers to our cloud, we foster a collaborative, self-starting, and open-minded atmosphere. With German and Indian roots in our DNA, we strive to build a diverse and competitive team. We offer flexible and family friendly benefits to provide our employees with the resources they need to succeed. We are always on the lookout for sharp talent, so drop us a message to learn more about Logward.</t>
  </si>
  <si>
    <t>https://www.linkedin.com/company/logward/</t>
  </si>
  <si>
    <t>https://www.logward.com/</t>
  </si>
  <si>
    <t>mail@logward.com</t>
  </si>
  <si>
    <t>+49 40 67529266</t>
  </si>
  <si>
    <t>Jonas Krumland</t>
  </si>
  <si>
    <t>Logistics; Software; Supply Chain Management</t>
  </si>
  <si>
    <t>engineering; human_resources; information_technology; management; marketing; sales</t>
  </si>
  <si>
    <t>OpenTAS GmbH</t>
  </si>
  <si>
    <t>opentas-gmbh</t>
  </si>
  <si>
    <t>2e73a4bd-b478-4ee0-bb49-522f8ff1f4bf</t>
  </si>
  <si>
    <t>Terminal Management Software</t>
  </si>
  <si>
    <t>Developer and provider of terminal management platform and consulting services designed to digitalize the energy and chemical supply chain. The company's platform offers autonomous terminal management that leverages AI and machine learning and also provides consulting, software solutions, and managed services, enabling terminal operators to optimize processes, increase efficiency, and adapt to the evolving energy landscape.</t>
  </si>
  <si>
    <t>https://www.linkedin.com/company/opentas/</t>
  </si>
  <si>
    <t>https://www.opentas.com/</t>
  </si>
  <si>
    <t>contact@opentas.com</t>
  </si>
  <si>
    <t>+49 (0)40 2709 360</t>
  </si>
  <si>
    <t>Consulting; Information Technology; Oil and Gas; Software</t>
  </si>
  <si>
    <t>mysupply</t>
  </si>
  <si>
    <t>mysupply-acf0</t>
  </si>
  <si>
    <t>c628b1d1-5b0f-4b64-81e0-4f56a616acf0</t>
  </si>
  <si>
    <t>SaaS, Procurement, Tender Process, Supplier Search, Offer Evaluation, Strategy Engine, Automized Negotiations, Lot Creation, AI</t>
  </si>
  <si>
    <t>With mysupply you automate your entire tender process by speeding up the supplier search, evaluating the offers easily and negotiating automatically with the help of our system intelligence.</t>
  </si>
  <si>
    <t>https://www.linkedin.com/company/mysupplyde/</t>
  </si>
  <si>
    <t>https://mysupply.de/en/</t>
  </si>
  <si>
    <t>Info@mysupply.de</t>
  </si>
  <si>
    <t>+49 40 228 53 230 0</t>
  </si>
  <si>
    <t>Andreas Zimmermann</t>
  </si>
  <si>
    <t>Artificial Intelligence (AI); Procurement; SaaS; Software; Supply Chain Management</t>
  </si>
  <si>
    <t>cflox</t>
  </si>
  <si>
    <t>a25c0853-88ff-4bec-907c-fe9788e04ae9</t>
  </si>
  <si>
    <t>cflox is the global market for cash flow, trade financing and working capital within the supply chain.</t>
  </si>
  <si>
    <t>cflox is the global market for cash flow, trade financing and working capital within the supply chain. On cflox, buyers and suppliers jointly optimize the financing of goods and services. We develop and implement solutions that are tailored to the specific needs and goals of our clients in different corporate stages and industry segments. Our digital approach reaches the entire supplier base and thereby addresses existing potential and demand. Our technology and comprehensive services facilitate the simple implementation of our solutions within existing systems and processes.</t>
  </si>
  <si>
    <t>https://www.linkedin.com/company/cflox-gmbh/</t>
  </si>
  <si>
    <t>https://cflox.com</t>
  </si>
  <si>
    <t>+49 40 22 86 97 85</t>
  </si>
  <si>
    <t>Philipp Tillmanns</t>
  </si>
  <si>
    <t>Financial Services</t>
  </si>
  <si>
    <t>human_resources; legal; marketing; operations; product</t>
  </si>
  <si>
    <t>Clinch Logistics GmbH</t>
  </si>
  <si>
    <t>clinch-logistics-gmbh</t>
  </si>
  <si>
    <t>58ded79e-dfb4-3b97-4a6a-df17dd300f53</t>
  </si>
  <si>
    <t>closed</t>
  </si>
  <si>
    <t>Clinch Logistics GmbH is a Digital Freight Forwarder.</t>
  </si>
  <si>
    <t>http://www.clinchlogistics.com</t>
  </si>
  <si>
    <t>hello@clinchlogistics.com</t>
  </si>
  <si>
    <t>+49 174 8745644</t>
  </si>
  <si>
    <t>Amanda Del Valle; Ivan Flores Hurtado</t>
  </si>
  <si>
    <t>Freight Service; Logistics; Supply Chain Management</t>
  </si>
  <si>
    <t>Cargo Cube</t>
  </si>
  <si>
    <t>cargo-cube</t>
  </si>
  <si>
    <t>31777788-c058-499e-a9ed-06cfde9a416e</t>
  </si>
  <si>
    <t>Cargo Cube is a logistics and supply chain management company.</t>
  </si>
  <si>
    <t>https://www.linkedin.com/company/cargo-cube</t>
  </si>
  <si>
    <t>https://www.cargo-cube.com</t>
  </si>
  <si>
    <t>info@fms-logistics.com</t>
  </si>
  <si>
    <t>+49 40 2393 0</t>
  </si>
  <si>
    <t>Logistics; Supply Chain Management; Transportation</t>
  </si>
  <si>
    <t>ooha</t>
  </si>
  <si>
    <t>6d666779-be9d-4778-8987-9fd4badd1ff3</t>
  </si>
  <si>
    <t>ooha GmbH supports impact food and beverage brands with distribution, key accounting, field sales, and marketing in German retail.</t>
  </si>
  <si>
    <t>ooha GmbH supports impact-focused food and beverage brands in entering and scaling within German-speaking grocery retail. The company provides strategy and key account management, in-house field force services, and distribution from its own warehouse for the German and Austrian markets. It also offers marketing, invoicing as local entity, and data-driven reporting via Power BI. ooha focuses on story-driven brands in categories such as healthy snacking, drinks, and other FMCG products.</t>
  </si>
  <si>
    <t>https://www.linkedin.com/company/ooha-impact-food-agency/</t>
  </si>
  <si>
    <t>https://ooha-food.de</t>
  </si>
  <si>
    <t>info@ooha-food.de</t>
  </si>
  <si>
    <t>Anton Kersten; Lukas Manzeck; Niklas Etmans</t>
  </si>
  <si>
    <t>E-Commerce; Food and Beverage; Marketing; Retail; Supply Chain Management</t>
  </si>
  <si>
    <t>management; sales</t>
  </si>
  <si>
    <t>Milkly GmbH</t>
  </si>
  <si>
    <t>milkly-gmbh</t>
  </si>
  <si>
    <t>73a9ce59-bd9e-4804-a65a-6b0ddc8b5995</t>
  </si>
  <si>
    <t>We distribute milk and milk alternative products and many other products under a new premium brand.</t>
  </si>
  <si>
    <t>Why Milkly? MILKLY¬Æ is the first platform to pioneer and develop the full range of milk and alternative products and many other premium products outside of retail through home delivery. By combining a premium brand with a reusable, closed packaging system, MILKLY adds value to dairy products and makes #sustainable enjoyment possible again. Consumers and companies can use the app to order products that are produced in an animal-friendly, environmentally-friendly and climate-friendly way and have them delivered in no time at all to various subscription options. With the #reusable bottles and jars, which can be easily returned for MILKLY reuse after consumption, they also avoid #plasticwaste and actively #protect the environment. The good feeling of enjoying great dairy products has a new name - MILKLY¬Æ - THE FUTURE OF (NON) DAIRY</t>
  </si>
  <si>
    <t>https://www.linkedin.com/company/milkly/</t>
  </si>
  <si>
    <t>https://www.milkly.de/</t>
  </si>
  <si>
    <t>ahoi@milkly.de</t>
  </si>
  <si>
    <t>Bassam Kharashfeh</t>
  </si>
  <si>
    <t>E-Commerce; Food Delivery; Supply Chain Management</t>
  </si>
  <si>
    <t>GRYN</t>
  </si>
  <si>
    <t>gryn</t>
  </si>
  <si>
    <t>cf29c8bb-87cf-4f10-b907-9dbaca2e74ff</t>
  </si>
  <si>
    <t>GRYN provides a logistics data platform for automated Scope 3 transport emissions calculation and reporting.</t>
  </si>
  <si>
    <t>GRYN provides a digital platform that aggregates and harmonizes logistics and transport data to support corporate climate reporting. The company connects shippers, carriers, and other supply chain partners through APIs and data interfaces, creating a standardized view of transport movements and related emissions. Its software applies current greenhouse gas accounting methodologies to calculate Scope 3.4 and 3.9 transport emissions, aligning outputs with evolving regulatory and voluntary reporting frameworks. GRYN Network offers tools to monitor emission performance over time, identify hotspots in transport chains, and support decisions on route optimization and mode shifts. The platform integrates into existing logistics and enterprise systems, aiming to reduce manual data handling in emission reporting workflows.</t>
  </si>
  <si>
    <t>https://www.linkedin.com/company/gryn-network</t>
  </si>
  <si>
    <t>https://www.gryn.com</t>
  </si>
  <si>
    <t>help@gryn.com</t>
  </si>
  <si>
    <t>Oliver Ritzmann</t>
  </si>
  <si>
    <t>Carbon Capture; Cloud Computing; Enterprise Software; Logistics; SaaS; Supply Chain Management; Transportation</t>
  </si>
  <si>
    <t>management; product; sales; support</t>
  </si>
  <si>
    <t>Portrix Logistics Software</t>
  </si>
  <si>
    <t>portrix-logistic-software</t>
  </si>
  <si>
    <t>4c55ef1a-0300-475f-88d7-4d6ca35b76fe</t>
  </si>
  <si>
    <t>Portrix Logistics Software provides multimodal rate management solutions for logistics services providers (LSPs).</t>
  </si>
  <si>
    <t>Portrix Logistics Software provides multimodal rate management solutions for logistics services providers (LSPs) and also helping its customers streamline and automate complex global shipping rate management processes.</t>
  </si>
  <si>
    <t>https://www.linkedin.com/company/portrix-logistic-software-gmbh</t>
  </si>
  <si>
    <t>https://portrix-ls.de/</t>
  </si>
  <si>
    <t>info@portrix-ls.de</t>
  </si>
  <si>
    <t>+49.40.398053-0</t>
  </si>
  <si>
    <t>Henning Voss; Knud Mueller; Niclas Schroeder</t>
  </si>
  <si>
    <t>operations</t>
  </si>
  <si>
    <t>ONLOGIST</t>
  </si>
  <si>
    <t>onlogist</t>
  </si>
  <si>
    <t>45da30a5-8139-d7cd-d430-1c92b7dab8f4</t>
  </si>
  <si>
    <t>ONLOGIST is a web-based order and communication platform for vehicle logistics.</t>
  </si>
  <si>
    <t>ONLOGIST is a marketplace for car transports. ONLOGIST saves money, transports people for free and reduces the pollution of the environment.</t>
  </si>
  <si>
    <t>https://www.linkedin.com/company/5386854/</t>
  </si>
  <si>
    <t>https://www.onlogist.com/</t>
  </si>
  <si>
    <t>info@onlogist.com</t>
  </si>
  <si>
    <t>Felix M√ºller; Moritz Pagendarm</t>
  </si>
  <si>
    <t>management; operations; sales</t>
  </si>
  <si>
    <t>M.P.I. Pharmaceutica</t>
  </si>
  <si>
    <t>m-p-i-pharmaceutica</t>
  </si>
  <si>
    <t>512b2b97-e856-447e-a2ac-cdfb736a42fa</t>
  </si>
  <si>
    <t>M.P.I. Pharmaceutica is a trading company that supplies medicine raw materials for the pharmaceutical and veterinary medicine industry.</t>
  </si>
  <si>
    <t>https://www.linkedin.com/company/mpi-pharmaceutica-gmbh/</t>
  </si>
  <si>
    <t>https://mpi-pharma.com/en/home</t>
  </si>
  <si>
    <t>contact@mpi-pharma.de</t>
  </si>
  <si>
    <t>Marketing; Medical; Pharmaceutical; Supply Chain Management</t>
  </si>
  <si>
    <t>product</t>
  </si>
  <si>
    <t>Systain</t>
  </si>
  <si>
    <t>systain</t>
  </si>
  <si>
    <t>0ae970a1-e5ed-48fd-aed5-ee23283c77fb</t>
  </si>
  <si>
    <t>Systain is a sustainability consultancy that specializes in the supply chain, social, and ecological solutions for companies.</t>
  </si>
  <si>
    <t>https://www.linkedin.com/company/systain-consulting/</t>
  </si>
  <si>
    <t>https://systain.com</t>
  </si>
  <si>
    <t>info@systain.com</t>
  </si>
  <si>
    <t>+49 40 609 4618</t>
  </si>
  <si>
    <t>Consulting; Professional Services; Social</t>
  </si>
  <si>
    <t>management</t>
  </si>
  <si>
    <t>ABRAMS world trade wiki</t>
  </si>
  <si>
    <t>abrams-world-trade-wiki</t>
  </si>
  <si>
    <t>456c505b-0546-43c5-8fbe-2f292838ca07</t>
  </si>
  <si>
    <t>ABRAMS world trade wiki is a business intelligence portal that helps governments, investors, and researchers to gain insights from big data.</t>
  </si>
  <si>
    <t>ABRAMS world trade wiki is a global trade intelligence and research platform that consolidates billions of records from international sources into a unified database. Its core differentiator is the linkage of UN Comtrade macro indicators with detailed customs and shipping data, including bills of lading. This enables users to analyze markets and product flows by HS code while also revealing the companies behind those flows: buyers, suppliers, competitors, routes and trade relationships. Typical use cases include supplier and customer discovery, market and competitive intelligence, port and route insights, and supply chain transparency. Users search by company, product, country and HS code, narrow results with filters, and share findings via visual analytics and exportable reports. ABRAMS world trade wiki helps teams uncover opportunities, evaluate trading partners and detect risks earlier in global supply chains. ABRAMS World Trade Wiki supports data-driven workflows through visual analytics, structured exploration, and exportable insights. Users can investigate trade patterns across products, countries, and companies, compare historical trends, and translate complex trade data into actionable intelligence for strategic planning, risk assessment, and international business decisions.</t>
  </si>
  <si>
    <t>https://www.linkedin.com/company/abrams-world-trade-wiki</t>
  </si>
  <si>
    <t>http://www.abrams.wiki</t>
  </si>
  <si>
    <t>info@abrams.wiki</t>
  </si>
  <si>
    <t>49 40 2576645200</t>
  </si>
  <si>
    <t>Artificial Intelligence (AI); Big Data; Business Intelligence; Database; Information Services; Software</t>
  </si>
  <si>
    <t>Terberg Special Vehicles</t>
  </si>
  <si>
    <t>terberg-special-vehicles</t>
  </si>
  <si>
    <t>2d9c65c8-ba8e-4015-8cba-5183b2efbfc2</t>
  </si>
  <si>
    <t>Terberg Special Vehicles is an automotive company that specializes in sales, rental, maintenance, and repair services of vehicles.</t>
  </si>
  <si>
    <t>https://linkedin.com/company/terberg-spezialfahrzeuge-gmbh</t>
  </si>
  <si>
    <t>https://www.terbergspezialfahrzeuge.de/</t>
  </si>
  <si>
    <t>zentrale@terberg-de.de</t>
  </si>
  <si>
    <t>+49 40-43091140</t>
  </si>
  <si>
    <t>Automotive; Rental; Supply Chain Management; Transportation</t>
  </si>
  <si>
    <t>finance</t>
  </si>
  <si>
    <t>Backhaus &amp; Co.</t>
  </si>
  <si>
    <t>backhaus-co</t>
  </si>
  <si>
    <t>8b7de407-934e-4995-aa6c-3ff87d615a3e</t>
  </si>
  <si>
    <t>Backhaus &amp; Co. is a trucking company that provides contract logistics, forwarding, warehouse, and supply chain solutions.</t>
  </si>
  <si>
    <t>https://www.linkedin.com/company/backhaus-co-gmbh-co-kg/</t>
  </si>
  <si>
    <t>https://backhaus-co.de</t>
  </si>
  <si>
    <t>info@backhaus-co.de</t>
  </si>
  <si>
    <t>+49 040 2370 040</t>
  </si>
  <si>
    <t>Freight Service; Logistics; Supply Chain Management; Transportation; Warehousing</t>
  </si>
  <si>
    <t>F&amp;P Executive Solutions</t>
  </si>
  <si>
    <t>f-p-executive-solutions</t>
  </si>
  <si>
    <t>fc7388da-bead-493d-affa-df61cee4808b</t>
  </si>
  <si>
    <t>F&amp;P Executive Solutions is an interim management consultancy that offers restructuring, distribution, and digital transformation solutions.</t>
  </si>
  <si>
    <t>https://www.linkedin.com/company/fischer-&amp;-partner-executive-solutions/</t>
  </si>
  <si>
    <t>https://www.fup-ag.com/</t>
  </si>
  <si>
    <t>kontakt@fup-ag.com</t>
  </si>
  <si>
    <t>+49 40 8000 84592</t>
  </si>
  <si>
    <t>Business Development; Consulting; Project Management; Supply Chain Management</t>
  </si>
  <si>
    <t>Transport Talent</t>
  </si>
  <si>
    <t>transport-talent</t>
  </si>
  <si>
    <t>916570d9-cc26-4f6f-9724-3e5401974605</t>
  </si>
  <si>
    <t>Transport Talent is a talent acquisition firm that connects logistics professionals to jobs in logistics and supply chain.</t>
  </si>
  <si>
    <t>https://www.linkedin.com/company/transport-talent</t>
  </si>
  <si>
    <t>https://transporttalent.com</t>
  </si>
  <si>
    <t>contact@de.transporttalent.com</t>
  </si>
  <si>
    <t>+49 40 53 799 1410</t>
  </si>
  <si>
    <t>Logistics; Professional Services; Recruiting; Staffing Agency</t>
  </si>
  <si>
    <t>management; marketing; pro_services</t>
  </si>
  <si>
    <t>Sump &amp; Stammer</t>
  </si>
  <si>
    <t>sump-stammer</t>
  </si>
  <si>
    <t>8f9c944e-c586-46a3-ae09-d2886478955a</t>
  </si>
  <si>
    <t>Sump &amp; Stammer distributes canned food, dairy, poultry, and frozen products.</t>
  </si>
  <si>
    <t>Sump &amp; Stammer is a food product distributor that sells meat, fish, dairy, eggs, frozen items, beverages, soft drinks, dry goods, non-food, oil, and sausages, among other things. They provide services to the cruise industry, as well as hotels, resorts, ship suppliers, caterers, and other businesses.</t>
  </si>
  <si>
    <t>https://www.linkedin.com/company/sump-&amp;-stammer-gmbh-international-food-supply/</t>
  </si>
  <si>
    <t>https://sump-stammer.com</t>
  </si>
  <si>
    <t>info@sump-stammer.com</t>
  </si>
  <si>
    <t>+49 40 78 09 48 0</t>
  </si>
  <si>
    <t>Food and Beverage; Logistics; Supply Chain Management</t>
  </si>
  <si>
    <t>finance; management; operations; sales</t>
  </si>
  <si>
    <t>Atlantic Chemicals Trading</t>
  </si>
  <si>
    <t>atlantic-chemicals-trading</t>
  </si>
  <si>
    <t>81a28943-31c2-49ed-aba2-08e729bcc3cf</t>
  </si>
  <si>
    <t>Atlantic Chemicals Trading is a distributor for the food, pharmaceuticals and cosmetics sectors.</t>
  </si>
  <si>
    <t>Atlantic Chemicals Trading distributes ingredients for the food, animal, pharmaceutical, and cosmetic industries. This is done by taking an overall view of the markets and changes in political, commercial, and environmental terms. In addition to their personalized customer service, you will benefit from their strong logistics services and ideal supply chain management.</t>
  </si>
  <si>
    <t>https://www.linkedin.com/company/act-gmbh/</t>
  </si>
  <si>
    <t>https://act.de/</t>
  </si>
  <si>
    <t>germany@act.de</t>
  </si>
  <si>
    <t>+49 40 33 44 19 0</t>
  </si>
  <si>
    <t>Logistics; Packaging Services; Retail Technology; Supply Chain Management</t>
  </si>
  <si>
    <t>finance; management; marketing; operations; product; sales</t>
  </si>
  <si>
    <t>bendcircular</t>
  </si>
  <si>
    <t>1b57cd04-7184-40f9-873a-40387d022867</t>
  </si>
  <si>
    <t>bendcircular GmbH provides software for digital product passports, materials traceability, and circular economy data integration.</t>
  </si>
  <si>
    <t>bendcircular GmbH builds software and data services that support circular economy programs across product lifecycles. The company develops tools for digital product passports, materials and component traceability, and take-back or recycling workflows. Its platform structures product, supplier, and environmental data to enable compliance reporting and circular design decisions, and integrates with PLM, ERP, and supply chain systems via APIs. Services include implementation, custom integrations, and advisory on data models, interchange standards, and policy requirements. Solutions target manufacturers, brands, and recyclers seeking to map materials, document sustainability claims, and orchestrate reuse or recovery.</t>
  </si>
  <si>
    <t>https://www.linkedin.com/company/bendcircular</t>
  </si>
  <si>
    <t>https://www.bendcircular.com</t>
  </si>
  <si>
    <t>+49 172 8677 306</t>
  </si>
  <si>
    <t>Philipp Litzenberger</t>
  </si>
  <si>
    <t>Data Integration; Enterprise Software; Environmental Consulting; Manufacturing; Product Design; Recycling; SaaS; Software; Supply Chain Management; Sustainability</t>
  </si>
  <si>
    <t>HCCO</t>
  </si>
  <si>
    <t>hanseatic-cocoa-commodity-office</t>
  </si>
  <si>
    <t>f039fd33-47a6-4fbc-837e-4e61f5b48748</t>
  </si>
  <si>
    <t>HCCO is a trading company that specializes in consulting, brokerage, and sourcing various natural raw materials.</t>
  </si>
  <si>
    <t>https://www.linkedin.com/company/h.c.c.o-hamburg-cocoa-&amp;-commodity-office</t>
  </si>
  <si>
    <t>https://www.hcco.de/de/</t>
  </si>
  <si>
    <t>hcco@hcco.de</t>
  </si>
  <si>
    <t>Consulting; Consumer Goods; Supply Chain Management</t>
  </si>
  <si>
    <t>HHLA Next</t>
  </si>
  <si>
    <t>hhla-next</t>
  </si>
  <si>
    <t>7b31b340-0e92-4da3-bf93-925493787034</t>
  </si>
  <si>
    <t>HHLA Next GmbH is the Transportation, Logistics, Supply Chain and Storage company</t>
  </si>
  <si>
    <t>https://www.linkedin.com/company/hhla-next/</t>
  </si>
  <si>
    <t>https://hhla-next.de</t>
  </si>
  <si>
    <t>Elkline</t>
  </si>
  <si>
    <t>elkline</t>
  </si>
  <si>
    <t>30a5adc7-7618-4122-9083-b3d23213a933</t>
  </si>
  <si>
    <t>Elkline GmbH produces sustainable fashion, including waterproof coats, rain jackets, and hoodies, using eco-friendly materials.</t>
  </si>
  <si>
    <t>Elkline GmbH specializes in producing sustainable and fair-trade fashion, including waterproof winter coats, rain jackets, cozy fleece, and hoodies. The company emphasizes environmental responsibility, using GOTS and bluesign certified materials, organic cotton, and PFC-free fabrics. Elkline also promotes a transparent production and supply chain, ensuring fair working conditions and social standards. Additionally, the company offers a program to give used clothing a second life, enhancing the sustainability of their products.</t>
  </si>
  <si>
    <t>https://www.linkedin.com/company/elkline-gmbh</t>
  </si>
  <si>
    <t>https://www.elkline.de</t>
  </si>
  <si>
    <t>customerservice@elkline.de</t>
  </si>
  <si>
    <t>+49 40 570199884</t>
  </si>
  <si>
    <t>Stephan Kn√ºppel</t>
  </si>
  <si>
    <t>Apparel; E-Commerce; Manufacturing; Textiles</t>
  </si>
  <si>
    <t>BorderGuru</t>
  </si>
  <si>
    <t>borderguru</t>
  </si>
  <si>
    <t>df7b9abf-5dab-5fa9-cecc-1d466d3273bc</t>
  </si>
  <si>
    <t>BorderGuru is specialized in providing international logistics services to the retail industry.</t>
  </si>
  <si>
    <t>BorderGuru GmbH is an innovative company backed by the Hermes Group, a multinational group (of companies) specialized in providing international logistics services to the retail industry. Hermes is a 100% subsidiary of the Otto Group, one of the largest B2C online retailers in the fashion and lifestyle category worldwide. Hermes is a leading specialist for retail-related services and partners with numerous distance sellers in Europe and internationally. In 2013 the Hermes Group grew consolidated revenue to 2.083 billion euros and increased the number of employees to 11,814. They are an experienced, diverse team with expertise in different fields - e-commerce, logistics, software development and payments. Together they can make your international sales excel. They are a company backed by the Otto Group in Germany and benefit from their extensive network. Hence, they can offer competitive rates from the start. Combining a great team with great partners they have all it takes to become the leader in international e-commerce fulfilment.</t>
  </si>
  <si>
    <t>https://www.linkedin.com/company/9316711</t>
  </si>
  <si>
    <t>http://www.borderguru.com</t>
  </si>
  <si>
    <t>info@borderguru.com</t>
  </si>
  <si>
    <t>Supply Chain Management</t>
  </si>
  <si>
    <t>logineer</t>
  </si>
  <si>
    <t>51b641b2-796d-46b1-8a78-810ba67974b3</t>
  </si>
  <si>
    <t>logineer is a digital logistics company that provides digitalization for the supply chain sector.</t>
  </si>
  <si>
    <t>https://www.linkedin.com/company/logineer/</t>
  </si>
  <si>
    <t>https://www.logineer.com</t>
  </si>
  <si>
    <t>info@logineer.com</t>
  </si>
  <si>
    <t>+49 40 80 90 421  0</t>
  </si>
  <si>
    <t>Information Technology; Logistics; Supply Chain Management</t>
  </si>
  <si>
    <t>management; marketing; pro_services; product</t>
  </si>
  <si>
    <t>Fresh Factory</t>
  </si>
  <si>
    <t>fresh-factory-b340</t>
  </si>
  <si>
    <t>4b2a8fea-dfb6-4de5-865f-8d9b0a2fb340</t>
  </si>
  <si>
    <t>Fresh Factory specializes in cutting, refining, and supplying fruit and fruit salads to hotels.</t>
  </si>
  <si>
    <t>https://www.linkedin.com/company/fresh-factory-gmbh</t>
  </si>
  <si>
    <t>https://freshfactory.com</t>
  </si>
  <si>
    <t>moin@freshfactory.com</t>
  </si>
  <si>
    <t>+49 040 54 750 750</t>
  </si>
  <si>
    <t>Fruit; Recipes; Supply Chain Management</t>
  </si>
  <si>
    <t>Hofly</t>
  </si>
  <si>
    <t>hofly</t>
  </si>
  <si>
    <t>03ae8789-fcd6-4e8b-baa7-52dee33944ba</t>
  </si>
  <si>
    <t>Hofly offers a digital platform for direct farm-to-consumer product delivery, streamlining sales and shipping for farmers.</t>
  </si>
  <si>
    <t>Hofly specializes in providing a digital platform that streamlines the process of delivering products directly from farms to customers. The company focuses on enhancing the efficiency of sales and shipping for agricultural producers through its logistics and order management system. This service allows farmers to digitize their sales channels, making it easier to manage orders and ensure timely delivery of fresh produce to consumers. With a small team, Hofly aims to connect the agricultural sector with modern e-commerce capabilities, facilitating a direct farm-to-consumer supply chain.</t>
  </si>
  <si>
    <t>https://www.linkedin.com/company/hofly</t>
  </si>
  <si>
    <t>https://www.info.hofly.de</t>
  </si>
  <si>
    <t>support@hofly.de</t>
  </si>
  <si>
    <t>+49 0176 62198126</t>
  </si>
  <si>
    <t>B2B; Delivery Service; Shipping</t>
  </si>
  <si>
    <t>padis</t>
  </si>
  <si>
    <t>85a36596-5a4e-4032-8dd6-f69544c85842</t>
  </si>
  <si>
    <t>padis is an integrated warehouse and logistics company supporting fulfillment, event and production logistics.</t>
  </si>
  <si>
    <t>padis provides fulfillment, event and production logistics services. Their focus is on simple and intuitive operation. Every software is continuously optimized according to the wishes of customers and users. Every warehouse manager can find an overview of all the delivery orders that need to be completed.</t>
  </si>
  <si>
    <t>https://www.linkedin.com/company/padis-gmbh/</t>
  </si>
  <si>
    <t>https://padis.io/</t>
  </si>
  <si>
    <t>contact@padis.io</t>
  </si>
  <si>
    <t>+49 40/6963 249 50</t>
  </si>
  <si>
    <t>Logistics; Packaging Services; Supply Chain Management; Transportation; Warehousing</t>
  </si>
  <si>
    <t>BdV Behrens</t>
  </si>
  <si>
    <t>bdv-behrens</t>
  </si>
  <si>
    <t>9acb99bf-afe8-4786-b8e2-a12fe33848b3</t>
  </si>
  <si>
    <t>BdV Behrens is a¬†foreign trade company that provides¬†trade services in the chemicals, paper, and packaging sectors.</t>
  </si>
  <si>
    <t>https://www.linkedin.com/company/bdv-behrens-gmbh/</t>
  </si>
  <si>
    <t>https://www.bdv-behrens.de/de/</t>
  </si>
  <si>
    <t>info@bdv-behrens.de</t>
  </si>
  <si>
    <t>+49 (0)40 32 31 85-0</t>
  </si>
  <si>
    <t>Manufacturing; Packaging Services; Supply Chain Management</t>
  </si>
  <si>
    <t>finance; management; product</t>
  </si>
  <si>
    <t>M-CO</t>
  </si>
  <si>
    <t>mennewisch-co</t>
  </si>
  <si>
    <t>1a3a7fc1-2be8-4cf3-99c8-1b514b48527d</t>
  </si>
  <si>
    <t>M-CO is a Hamburg based financial services provider.</t>
  </si>
  <si>
    <t>M-CO provides factoring, supply chain finance, and capital services.</t>
  </si>
  <si>
    <t>https://www.linkedin.com/company/11354111</t>
  </si>
  <si>
    <t>https://m-co.de/</t>
  </si>
  <si>
    <t>mail@m-co.de</t>
  </si>
  <si>
    <t>+49 40 800 084 531</t>
  </si>
  <si>
    <t>Consulting; Financial Services; Lending</t>
  </si>
  <si>
    <t>management; marketing; operations; sales</t>
  </si>
  <si>
    <t>Medway International GmbH</t>
  </si>
  <si>
    <t>medway-international-gmbh</t>
  </si>
  <si>
    <t>eedee993-5e7d-49bf-8db4-b29077f4ebcd</t>
  </si>
  <si>
    <t>Medway International GmbH offers support in sourcing scarce goods and products.</t>
  </si>
  <si>
    <t>Medway International GmbH offers support in sourcing scarce goods and products. It was located in Hamburg and was founded in 2020.</t>
  </si>
  <si>
    <t>https://www.linkedin.com/company/medway-international-gmbh/about/</t>
  </si>
  <si>
    <t>http://www.medway-international.com/</t>
  </si>
  <si>
    <t>info@medway-international.com</t>
  </si>
  <si>
    <t>Georg Schacht</t>
  </si>
  <si>
    <t>myleo / dsc</t>
  </si>
  <si>
    <t>myleo-dsc</t>
  </si>
  <si>
    <t>e3bd0e3e-3609-44fe-af60-fdb8b537deac</t>
  </si>
  <si>
    <t>myleo / dsc offers a Process-as-a-Service solution for optimizing logistics processes, supporting both SAP and non-SAP environments.</t>
  </si>
  <si>
    <t>myleo / dsc provides a Process-as-a-Service solution designed to streamline and optimize logistics processes. The platform supports both SAP and non-SAP environments, enabling users to manage site and transport logistics efficiently. Key features include digitalization of logistics processes, contactless self-check-in for transports, and capacity planning. The solution aims to connect suppliers and shippers, enhancing collaboration and operational efficiency.</t>
  </si>
  <si>
    <t>https://www.linkedin.com/company/myleo-dsc</t>
  </si>
  <si>
    <t>https://myleodsc.com</t>
  </si>
  <si>
    <t>info@myleodsc.de</t>
  </si>
  <si>
    <t>+49 0 40 298 1268</t>
  </si>
  <si>
    <t>Cloud Data Services; Professional Services; Supply Chain Management</t>
  </si>
  <si>
    <t>management; marketing; product; sales</t>
  </si>
  <si>
    <t>Titlehouse</t>
  </si>
  <si>
    <t>titlehouse</t>
  </si>
  <si>
    <t>ca953cc0-41e4-49fb-9258-cc1e4661db48</t>
  </si>
  <si>
    <t>Fintech, Blockchain, NFT, Artificial Intelligence, Mobility</t>
  </si>
  <si>
    <t>With Tilehouse, we are solving Financial Supply Chain issues in the car industry. Titlehouse is a specialist service provider for the custody of certificates of ownership based on blockchain technology. Vertical integration is the Fintech area for closing financing gaps in trade transactions. The technology platform developed and operated by Titlehouse leads to cost-reducing and time-optimized transaction processes for our customers. We are the innovation leader in digitally enabled certificate of ownership custody.</t>
  </si>
  <si>
    <t>https://www.linkedin.com/company/titlehouse/</t>
  </si>
  <si>
    <t>https://titlehouse.de/</t>
  </si>
  <si>
    <t>info@titlehouse.de</t>
  </si>
  <si>
    <t>Toralf Feuchtenhofer</t>
  </si>
  <si>
    <t>Automotive; Finance; Financial Services; Information Technology; Internet; Software</t>
  </si>
  <si>
    <t>Breeze Group</t>
  </si>
  <si>
    <t>breeze-group</t>
  </si>
  <si>
    <t>11317db2-95e1-4456-9e95-0e3df3b99be3</t>
  </si>
  <si>
    <t>Breeze Group offers transport, logistics, and packing solutions.</t>
  </si>
  <si>
    <t>https://www.linkedin.com/company/hamburgbreezegroup</t>
  </si>
  <si>
    <t>https://www.breeze-group.com</t>
  </si>
  <si>
    <t>germany@breeze-group.com</t>
  </si>
  <si>
    <t>49 40 30 60 45 60</t>
  </si>
  <si>
    <t>Logistics; Supply Chain Management; Transportation; Warehousing</t>
  </si>
  <si>
    <t>TKGesundheit</t>
  </si>
  <si>
    <t>tkgesundheit</t>
  </si>
  <si>
    <t>9a8c1e6b-c392-4ed7-bfb5-0f8bd9d45580</t>
  </si>
  <si>
    <t>TKGesundheit offers supply management, customer acquisition, and document management services.</t>
  </si>
  <si>
    <t>https://www.linkedin.com/company/tkgesundheit-gmbh/</t>
  </si>
  <si>
    <t>https://www.tkgesundheit.de/</t>
  </si>
  <si>
    <t>tkgg-info@tkgesundheit.de</t>
  </si>
  <si>
    <t>46 06 59 51-191</t>
  </si>
  <si>
    <t>Document Management; Information Technology; Supply Chain Management</t>
  </si>
  <si>
    <t>ValueGrain</t>
  </si>
  <si>
    <t>valuegrain</t>
  </si>
  <si>
    <t>f0a8b7a2-1f5a-497d-bf6e-9fb0debe5201</t>
  </si>
  <si>
    <t>ValueGrain upcycles brewer‚Äôs spent grain into a plant-based, high-fiber ingredient and provides brewery-integrated processing technology.</t>
  </si>
  <si>
    <t>ValueGrain upcycles brewer‚Äôs spent grain into a plant-based, high-fiber ingredient for industrial food production. The company installs patented mechanical processing units in breweries and connects them to existing infrastructure. It then manages logistics to deliver tailored ValueGrain, fresh or frozen, to food producers. The ingredient serves as a complement to flour, bulking substance, and component in meat alternatives and novelty foods. ValueGrain supports circular food systems by reducing brewing by-products and supplying a fiber- and protein-rich resource to bakeries and other manufacturers.</t>
  </si>
  <si>
    <t>https://www.linkedin.com/company/valuegrain</t>
  </si>
  <si>
    <t>https://value-grain.com</t>
  </si>
  <si>
    <t>+49 1525 1029598</t>
  </si>
  <si>
    <t>Agriculture; AgTech; Food and Beverage; Food Processing; Logistics; Plant-Based Foods; Supply Chain Management; Sustainability</t>
  </si>
  <si>
    <t>Von Saldern Gruppe</t>
  </si>
  <si>
    <t>von-saldern-gruppe</t>
  </si>
  <si>
    <t>274eb15b-dfb2-4ee0-b39e-3956dd75b5f8</t>
  </si>
  <si>
    <t>Von Saldern Gruppe is a freight service company that provides transportation, logistics, warehousing, and supply chain management services.</t>
  </si>
  <si>
    <t>https://www.von-saldern-gruppe.de/</t>
  </si>
  <si>
    <t>info@von-saldern-gruppe.de</t>
  </si>
  <si>
    <t>+49 40 320 27 660</t>
  </si>
  <si>
    <t>CST</t>
  </si>
  <si>
    <t>cst-0cca</t>
  </si>
  <si>
    <t>ed4939b1-bf9c-440b-ba84-3741c5650cca</t>
  </si>
  <si>
    <t>CST provides container modification, sells containers, and provides them on rent, and container weights services.</t>
  </si>
  <si>
    <t>CST Container specializes in the industrial sector, focusing on rental property and shipping. The company offers a range of services including storage, trading, leasing, and repair of containers. They also provide full container storage and weighing. Their containers are used for transport and storage of liquids predominantly in both chemical and foodstuff industry. Additionally, they offer services like 3rd party logistics, bonded warehousing, container trucking, supply chain management, cold chain logistics, pick and pack, freight, custom clearance, and inventory management. They also have collapsible flat rack containers for space-saving transport.</t>
  </si>
  <si>
    <t>https://www.linkedin.com/company/cst-container-speditions-und-transport-gmbh/</t>
  </si>
  <si>
    <t>https://cst-container.com</t>
  </si>
  <si>
    <t>info@cst-container.com</t>
  </si>
  <si>
    <t>49-40-741-190-66</t>
  </si>
  <si>
    <t>Helmuth Volkmar; Ursula Volkmar</t>
  </si>
  <si>
    <t>Industrial; Rental Property; Shipping</t>
  </si>
  <si>
    <t>Etika</t>
  </si>
  <si>
    <t>etika-6c2f</t>
  </si>
  <si>
    <t>0845a1e8-cd6b-4500-9111-bfd9b6746c2f</t>
  </si>
  <si>
    <t>Etika is a consulting company that offers sustainability strategies for medium-sized companies.</t>
  </si>
  <si>
    <t>Etika is a consulting company that offers sustainability strategies for medium-sized companies. It enforces human rights along the supply chain and ensures long-term corporate success. The company was established in 2021 and is headquartered in Hamburg, Germany.</t>
  </si>
  <si>
    <t>https://www.linkedin.com/company/etikaconsulting</t>
  </si>
  <si>
    <t>https://www.etika.io</t>
  </si>
  <si>
    <t>federicasuess@etika.io</t>
  </si>
  <si>
    <t>+49 (0) 1515 8744 276</t>
  </si>
  <si>
    <t>Veronica Rubio</t>
  </si>
  <si>
    <t>Business Development; Consulting; Sustainability</t>
  </si>
  <si>
    <t>nutwork trading company</t>
  </si>
  <si>
    <t>nutwork-handelsgesellschaft</t>
  </si>
  <si>
    <t>4a34cbb2-52b6-4868-a3d6-cbb3b4f72219</t>
  </si>
  <si>
    <t>Nutwork is a producer and supplier of dried fruits, kernel seeds, and baking ingredients.</t>
  </si>
  <si>
    <t>https://www.linkedin.com/company/nutwork-handelsgesellschaft-mbh</t>
  </si>
  <si>
    <t>https://www.nutwork.de</t>
  </si>
  <si>
    <t>+49 40 656 885 55</t>
  </si>
  <si>
    <t>Packaging Services; Service Industry; Supply Chain Management</t>
  </si>
  <si>
    <t>finance; information_technology; management; operations; product</t>
  </si>
  <si>
    <t>Scandi Paint</t>
  </si>
  <si>
    <t>scandi-paint</t>
  </si>
  <si>
    <t>febd6ec1-4d7f-416c-9094-2463a01f3f2d</t>
  </si>
  <si>
    <t>Scandi Paint provides research, development, production, and distribution of paints.</t>
  </si>
  <si>
    <t>Scandi Paint is an innovative supplier of adhesives and putties and a variety of specialty products¬†in the market through several companies founded by the family. Johan and Patrik Palm are fourth-generation paint producers. They provide adhesive, fillers, paint, indoor and outdoor, textile glass, epoxy floorcovering, primers, putties, spatula, spachtelvlies, dalapro, breplasta, wipes, scandipaint, dispersion putty, corner rails, stripper, paint remover, smart strip, dumond, and smartstrip services. It has been supplying floor coatings, interior and exterior paints, adhesives, fillers, fleece and fabrics to professional painters via the trade.</t>
  </si>
  <si>
    <t>https://www.linkedin.com/company/scandipaint-gmbh-&amp;-co-kg/</t>
  </si>
  <si>
    <t>https://www.scandipaint.com</t>
  </si>
  <si>
    <t>info@scandipaint.com</t>
  </si>
  <si>
    <t>+49 40 854143600</t>
  </si>
  <si>
    <t>Building Material; Manufacturing; Supply Chain Management; Wholesale</t>
  </si>
  <si>
    <t>Ecorporates</t>
  </si>
  <si>
    <t>ecorporates</t>
  </si>
  <si>
    <t>a85d8f5c-6c04-41bc-a67e-9c854aac3ee2</t>
  </si>
  <si>
    <t>Ecorporates operates as an mining company that provides industrial products, services, and engineering solutions.</t>
  </si>
  <si>
    <t>https://www.linkedin.com/company/ecorporates</t>
  </si>
  <si>
    <t>https://www.ecorporates.com</t>
  </si>
  <si>
    <t>info@ecorporates.com</t>
  </si>
  <si>
    <t>+49 4075368961</t>
  </si>
  <si>
    <t>Industrial; Mining; Supply Chain Management</t>
  </si>
  <si>
    <t>Matsen Chemie</t>
  </si>
  <si>
    <t>matsen-chemie</t>
  </si>
  <si>
    <t>c54d786d-c6d5-479a-b3f5-3b6fe87e0f96</t>
  </si>
  <si>
    <t>Matsen Chemie manufactures and supplies climate-neutral chemical products.</t>
  </si>
  <si>
    <t>https://www.linkedin.com/company/matsenchemieag</t>
  </si>
  <si>
    <t>https://matsen.de</t>
  </si>
  <si>
    <t>info@matsen.de</t>
  </si>
  <si>
    <t>+49 40 650 555 9 00</t>
  </si>
  <si>
    <t>Chemical; Manufacturing; Supply Chain Management</t>
  </si>
  <si>
    <t>UES Chassis</t>
  </si>
  <si>
    <t>ues-chassis</t>
  </si>
  <si>
    <t>4dd3ec59-b7f0-4688-9ee4-28c64a7ab690</t>
  </si>
  <si>
    <t>UES Chassis provides chassis rental services for the supply chain and logistics industry.</t>
  </si>
  <si>
    <t>https://www.linkedin.com/company/ues-chassis-gmbh</t>
  </si>
  <si>
    <t>https://ues-chassis.com</t>
  </si>
  <si>
    <t>info@uesc.eu</t>
  </si>
  <si>
    <t>49 (40) 485050-40</t>
  </si>
  <si>
    <t>Logistics; Rental; Transportation</t>
  </si>
  <si>
    <t>STORITY</t>
  </si>
  <si>
    <t>stority</t>
  </si>
  <si>
    <t>9b83af69-9e3c-4ad7-9053-e16628fcbbbf</t>
  </si>
  <si>
    <t>STORITY is combine self-storage and on-demand delivery.</t>
  </si>
  <si>
    <t>STORITY, the logistics service, satisfies cities‚Äô demanding inhabitants with more space through on-demand-storage with an app-controlled high-quality delivery and therefor provides the required logistics software &amp; platform solutions.</t>
  </si>
  <si>
    <t>https://www.linkedin.com/company/idea-invest-gmbh/</t>
  </si>
  <si>
    <t>https://stority.de/</t>
  </si>
  <si>
    <t>hello@stority.de</t>
  </si>
  <si>
    <t>Rothbaum Consulting Engineers</t>
  </si>
  <si>
    <t>rothbaum-consulting-engineers</t>
  </si>
  <si>
    <t>7836ec17-0343-4b28-93fa-d02bd12ced07</t>
  </si>
  <si>
    <t>Rothbaum consulting engineers is a management consulting company.</t>
  </si>
  <si>
    <t>Rothbaum Consulting Engineers is a leader in the digital transformation of operations, combining efficient value-added processes with cutting-edge information technology. They provide production, logistics, supply chain, digitization, factory planning, plant structure planning, assembly planning, project management, digital factory, lean management, production logistics, automation, value creation networks, location search, distribution logistics, delivery capability, make-or-buy, process optimization, operational excellence, and production planning.</t>
  </si>
  <si>
    <t>https://www.linkedin.com/company/rothbaum/</t>
  </si>
  <si>
    <t>https://www.rothbaum-consulting.de</t>
  </si>
  <si>
    <t>info@rothbaum-consulting.de</t>
  </si>
  <si>
    <t>+49 40 22 63 27 20</t>
  </si>
  <si>
    <t>Consulting; Logistics; Management Consulting; Supply Chain Management</t>
  </si>
  <si>
    <t>human_resources; management</t>
  </si>
  <si>
    <t>Express Company Teconja</t>
  </si>
  <si>
    <t>express-company-teconja</t>
  </si>
  <si>
    <t>e7fb13e7-fde9-4aa2-8d2c-faa1358d968a</t>
  </si>
  <si>
    <t>Express Company Teconja is a logistics solutions company that offers sea freight, truck delivery, and air freight services.</t>
  </si>
  <si>
    <t>https://linkedin.com/company/speditionsgesellschaft-teconja-mbh</t>
  </si>
  <si>
    <t>https://www.teconja.de</t>
  </si>
  <si>
    <t>info@teconja.com</t>
  </si>
  <si>
    <t>+49 406460700</t>
  </si>
  <si>
    <t>Air Transportation; Marine Transportation; Supply Chain Management; Transportation</t>
  </si>
  <si>
    <t>Bursped</t>
  </si>
  <si>
    <t>bursped</t>
  </si>
  <si>
    <t>9c72dfb1-4aac-4c83-b5c0-5f8df409438a</t>
  </si>
  <si>
    <t>Bursped is a logistics and supply chain company. It is a medium-sized company for forwarding and logistics services.</t>
  </si>
  <si>
    <t>Bursped is a logistics and supply chain company. It is a medium-sized company for forwarding and logistics services. It is specialized in system-guided transport services for national and international general cargo, and as well as distribution, procurement, and contract logistics. It offers standardized and systematic general cargo transports as well as contract logistics solutions. It offers services like general cargo, logistics, e-commerce, express shipping, warehouse, air freight, local transport, and more.</t>
  </si>
  <si>
    <t>https://www.linkedin.com/company/bursped/</t>
  </si>
  <si>
    <t>https://www.bursped.de</t>
  </si>
  <si>
    <t>info@bursped.de</t>
  </si>
  <si>
    <t>+49 4073 123 0</t>
  </si>
  <si>
    <t>JOSANTO</t>
  </si>
  <si>
    <t>josanto</t>
  </si>
  <si>
    <t>f86e793a-c983-47b7-a81f-5f491a583407</t>
  </si>
  <si>
    <t>JOSANTO specializes in rain ponchos and the import and export of processed products between Germany and China.</t>
  </si>
  <si>
    <t>https://www.linkedin.com/company/josanto/</t>
  </si>
  <si>
    <t>https://josanto.de/</t>
  </si>
  <si>
    <t>kontakt@josanto.de</t>
  </si>
  <si>
    <t>49-40-35778350</t>
  </si>
  <si>
    <t>Marketing; Professional Services; Supply Chain Management</t>
  </si>
  <si>
    <t>Sellenthin</t>
  </si>
  <si>
    <t>sellenthin</t>
  </si>
  <si>
    <t>3a0a6938-e676-4e99-8c3d-5ecabc456f34</t>
  </si>
  <si>
    <t>Sellenthin is a logistics company that specializes in transportation, relocation, storage, warehousing, delivery, and supply chain services.</t>
  </si>
  <si>
    <t>https://www.linkedin.com/company/sellenthin-logistik-gmbh/</t>
  </si>
  <si>
    <t>https://sellenthin-hamburg.de/</t>
  </si>
  <si>
    <t>info@sellenthin-logistik.de</t>
  </si>
  <si>
    <t>Delivery; Logistics; Supply Chain Management; Transportation; Warehousing</t>
  </si>
  <si>
    <t>Customs Pool Port Of Hamburg</t>
  </si>
  <si>
    <t>customs-pool-port-of-hamburg</t>
  </si>
  <si>
    <t>cc676429-a4a9-4b5b-905c-c1f8d8a0e9ab</t>
  </si>
  <si>
    <t>Customs Pool Port Of Hamburg is a¬†customs clearance company for container logistics and intermodal transport companies.</t>
  </si>
  <si>
    <t>https://www.linkedin.com/company/zoll-pool-hafen-hamburg-ag/</t>
  </si>
  <si>
    <t>https://zoll-pool.com</t>
  </si>
  <si>
    <t>info@zoll-pool.com</t>
  </si>
  <si>
    <t>+49 40 753 01 120</t>
  </si>
  <si>
    <t>Legal; Supply Chain Management; Transportation</t>
  </si>
  <si>
    <t>Seabridge Transport</t>
  </si>
  <si>
    <t>seabridge-transport</t>
  </si>
  <si>
    <t>ae9cd239-ad7e-4b8a-bd4c-b21593867190</t>
  </si>
  <si>
    <t>Seabridge Transport provides logistics services for the e-commerce, food, infrastructure, transportation, and architecture industries. T</t>
  </si>
  <si>
    <t>Seabridge Transport provides logistics services for the e-commerce, food, infrastructure, transportation, and architecture industries. The company provides sea, air, road, and rail transportation, supply chain management, project logistics, refrigerated transport, warehousing, customs clearing, and hazardous products handling and storage.</t>
  </si>
  <si>
    <t>https://www.linkedin.com/company/seabridge-transport-gmbh</t>
  </si>
  <si>
    <t>https://www.seabridge.de</t>
  </si>
  <si>
    <t>+49 (0)40 374933-25</t>
  </si>
  <si>
    <t>T.A.S. force</t>
  </si>
  <si>
    <t>t-a-s-force</t>
  </si>
  <si>
    <t>546fa69a-fbde-4fda-bc5d-68c27941a7a4</t>
  </si>
  <si>
    <t>T.A.S. force is a management consultancy that provides process, supplier, interim, and supply chain management services.</t>
  </si>
  <si>
    <t>https://www.linkedin.com/company/tas-force/?originalSubdomain=de</t>
  </si>
  <si>
    <t>https://tas-force.com/</t>
  </si>
  <si>
    <t>info@tas-force.com</t>
  </si>
  <si>
    <t>+49 40 30 77 15 62</t>
  </si>
  <si>
    <t>Management Consulting; Project Management; Supply Chain Management</t>
  </si>
  <si>
    <t>Momati24.de</t>
  </si>
  <si>
    <t>momati24-de</t>
  </si>
  <si>
    <t>e23bd7f0-c3df-4336-b155-dd43b3cbd040</t>
  </si>
  <si>
    <t>Momati24.de is an e-store that offers furniture for both living and office space.</t>
  </si>
  <si>
    <t>http://www.momati24.de</t>
  </si>
  <si>
    <t>info@momati24.de</t>
  </si>
  <si>
    <t>49-4035-703857</t>
  </si>
  <si>
    <t>E-Commerce; Furniture; Sales; Supply Chain Management</t>
  </si>
  <si>
    <t>HPMlog</t>
  </si>
  <si>
    <t>hpmlog</t>
  </si>
  <si>
    <t>93a32218-3d86-4d7c-b1f8-d0a89b76a025</t>
  </si>
  <si>
    <t>HPMlog is a consulting firm that develops logistics and supply chain strategies and solutions for warehouses, and port operations.</t>
  </si>
  <si>
    <t>https://www.linkedin.com/company/hpmlog-project-&amp;-management-consultants-gmbh</t>
  </si>
  <si>
    <t>https://www.hpm-log.de</t>
  </si>
  <si>
    <t>info@hpm-log.de</t>
  </si>
  <si>
    <t>+49 040 36 00 870</t>
  </si>
  <si>
    <t>Hans-Albrecht Kobow</t>
  </si>
  <si>
    <t>Consulting; Logistics; Supply Chain Management; Warehousing</t>
  </si>
  <si>
    <t>Hertling Hamburg</t>
  </si>
  <si>
    <t>hertling-hamburg</t>
  </si>
  <si>
    <t>6e09dcb3-e220-4409-a573-324f7b655cc3</t>
  </si>
  <si>
    <t>Hertling Hamburg is a logistics and transportation company.</t>
  </si>
  <si>
    <t>https://www.linkedin.com/company/hertling-hamburg-gmbh</t>
  </si>
  <si>
    <t>https://hertling-hamburg.de</t>
  </si>
  <si>
    <t>info@hertling-hamburg.de</t>
  </si>
  <si>
    <t>+49 0 40 540 10 31</t>
  </si>
  <si>
    <t>Lischke Consulting</t>
  </si>
  <si>
    <t>lischke-consulting</t>
  </si>
  <si>
    <t>b957f0e8-2660-4bc7-9e33-12703d8f46ef</t>
  </si>
  <si>
    <t>Lischke Consulting is a business management consulting company that specializes in advisory services for the manufacturing industry.</t>
  </si>
  <si>
    <t>https://www.linkedin.com/company/lischke-consulting/</t>
  </si>
  <si>
    <t>https://www.lischke.com</t>
  </si>
  <si>
    <t>office@lischke.com</t>
  </si>
  <si>
    <t>+49 040 3785570</t>
  </si>
  <si>
    <t>Advice; Consulting; Management Consulting; Supply Chain Management</t>
  </si>
  <si>
    <t>Stakeholder Reporting</t>
  </si>
  <si>
    <t>stakeholder-reporting</t>
  </si>
  <si>
    <t>d587ea0f-f591-4795-8c92-a4a394d81f7c</t>
  </si>
  <si>
    <t>Stakeholder Reporting offers ESG advice, sustainable finance, and supply chain consulting.</t>
  </si>
  <si>
    <t>Stakeholder Reporting GmbH is a sustainability consultancy that offers individualized Environmental, Social, and Governance (ESG) advice. Their services include management and reporting, climate and environmental protection, sustainable finance, and sustainable supply chains. They aim to refine reporting processes and support organizations in meeting investors' and stakeholders' needs. They also provide text and consulting for online annual reports and online sustainability reports.</t>
  </si>
  <si>
    <t>https://www.linkedin.com/company/stakeholder-reporting/</t>
  </si>
  <si>
    <t>https://www.stakeholder-reporting.com</t>
  </si>
  <si>
    <t>info@stakeholder-reporting.com</t>
  </si>
  <si>
    <t>+49 40 288 01 3800</t>
  </si>
  <si>
    <t>Financial Services; Management Consulting; Supply Chain Management</t>
  </si>
  <si>
    <t>management; operations; pro_services</t>
  </si>
  <si>
    <t>Ferropharma group</t>
  </si>
  <si>
    <t>ferropharma-group</t>
  </si>
  <si>
    <t>25ee7a7a-735b-4e43-aaef-e066ca8890e5</t>
  </si>
  <si>
    <t>Ferropharma group produces active pharmaceutical ingredients, finished dosage forms, and medical devices.</t>
  </si>
  <si>
    <t>https://www.linkedin.com/company/ferropharma/</t>
  </si>
  <si>
    <t>https://www.ferropharma.group</t>
  </si>
  <si>
    <t>info@ferropharma.group</t>
  </si>
  <si>
    <t>+49 40 306868 0</t>
  </si>
  <si>
    <t>Manufacturing; Pharmaceutical; Supply Chain Management; Wholesale</t>
  </si>
  <si>
    <t>Tecar International Trade</t>
  </si>
  <si>
    <t>tecar-international-trade</t>
  </si>
  <si>
    <t>c0e38161-a1b4-41a3-85b5-b89f461ef065</t>
  </si>
  <si>
    <t>Tecar International Trade purchases alliance and strategic network for the automotive aftermarket.</t>
  </si>
  <si>
    <t>https://www.linkedin.com/company/tecar-international</t>
  </si>
  <si>
    <t>https://www.tecar-international.com</t>
  </si>
  <si>
    <t>info@tecar-international.com</t>
  </si>
  <si>
    <t>+49 40 535 91 0</t>
  </si>
  <si>
    <t>Automotive; Retail; Supply Chain Management; Wholesale</t>
  </si>
  <si>
    <t>marketing</t>
  </si>
  <si>
    <t>Jebagro</t>
  </si>
  <si>
    <t>jebagro</t>
  </si>
  <si>
    <t>a275295c-8767-412c-ba9c-30503befb260</t>
  </si>
  <si>
    <t>Jebagro is a chemical manufacturing company that specializes in producing and distributing agrochemical products.</t>
  </si>
  <si>
    <t>https://www.linkedin.com/company/jebagro-gmbh/</t>
  </si>
  <si>
    <t>https://jebagro.com</t>
  </si>
  <si>
    <t>info@jj-jebagro.com</t>
  </si>
  <si>
    <t>Business Development; Chemical; Logistics; Manufacturing; Supply Chain Management</t>
  </si>
  <si>
    <t>sales</t>
  </si>
  <si>
    <t>Beckmann &amp; Jorgensen</t>
  </si>
  <si>
    <t>beckmann-jorgensen</t>
  </si>
  <si>
    <t>b3947cd0-ccb8-47e8-bc6e-9bd4def129f7</t>
  </si>
  <si>
    <t>1898-01-01</t>
  </si>
  <si>
    <t>Beckmann &amp; Jorgensen is a logistics company that focuses on goods control, chartering, production monitoring, and optimization services.</t>
  </si>
  <si>
    <t>https://www.linkedin.com/company/beckmann&amp;j%C3%B6rgensengmbh/</t>
  </si>
  <si>
    <t>https://www.bj-logistic.de</t>
  </si>
  <si>
    <t>hamburg@bj-logistic.de</t>
  </si>
  <si>
    <t>+49 402-369-910</t>
  </si>
  <si>
    <t>Logistics; Project Management; Supply Chain Management</t>
  </si>
  <si>
    <t>HB-M Holding f√ºr Verwaltungs</t>
  </si>
  <si>
    <t>hb-m-holding-f√ºr-verwaltungs</t>
  </si>
  <si>
    <t>479c8198-ee59-46fc-bb02-2b4d20b23caf</t>
  </si>
  <si>
    <t>HB-M Holding f√ºr Verwaltungs specializes in financial management and logistics solutions.</t>
  </si>
  <si>
    <t>Located in Hamburg, HB-M Holding f√ºr Verwaltungs specializes in financial management and logistics solutions. Offering a range of services, including financial planning, investment strategies, supply chain management, and transportation services. Enhance businesses‚Äô financial performance and streamline logistical operations, ensuring cost-effectiveness and timely delivery across various industries.</t>
  </si>
  <si>
    <t>https://www.linkedin.com/company/hb-m-holding-f-r-verwaltungs-gmbh/</t>
  </si>
  <si>
    <t>Dimitar Shatkov</t>
  </si>
  <si>
    <t>Financial Services; Logistics</t>
  </si>
  <si>
    <t>bpcompass GmbH</t>
  </si>
  <si>
    <t>bpcompass-gmbh</t>
  </si>
  <si>
    <t>f7ce9ce0-2a65-449c-830f-f2626779a5e4</t>
  </si>
  <si>
    <t>bpcompass is an information technology and business process consulting.</t>
  </si>
  <si>
    <t>bpcompass is an information technology and workflow management field as a result of increasingly complex requirements related to the serialization of individual products, object, and process tracking, and in the documentation and evaluation of logistical processes within the supply chain. They support well-known large and medium-sized enterprises in the development, implementation, integration, and optimization of reliable serialization</t>
  </si>
  <si>
    <t>https://www.linkedin.com/company/bpcompass-gmbh</t>
  </si>
  <si>
    <t>http://www.bpcompass.com</t>
  </si>
  <si>
    <t>contact@bpcompass.com</t>
  </si>
  <si>
    <t>+49 40 22698178</t>
  </si>
  <si>
    <t>Consulting; Logistics; Technical Support</t>
  </si>
  <si>
    <t>Hanseatic Oil Trading</t>
  </si>
  <si>
    <t>hanseatic-oil-trading</t>
  </si>
  <si>
    <t>17b2de23-2899-451b-b55a-61bd63a14f16</t>
  </si>
  <si>
    <t>Hanseatic Oil Trading is a distribution firm that supplies mineral and heating oil for small and medium refineries wholesale.</t>
  </si>
  <si>
    <t>https://www.hanseatic-oil-trading.de//</t>
  </si>
  <si>
    <t>+49 0 40 73 12 76 60</t>
  </si>
  <si>
    <t>Oil and Gas; Supply Chain Management; Wholesale</t>
  </si>
  <si>
    <t>Tuchel &amp; Sohn</t>
  </si>
  <si>
    <t>tuchel-sohn</t>
  </si>
  <si>
    <t>4d8a816c-4ecf-4705-bb85-17f46a272699</t>
  </si>
  <si>
    <t>Tuchel &amp; Sohn manufactures and supplies natural raw materials such as honey, agave, maple, date, fruit, and rice syrups.</t>
  </si>
  <si>
    <t>https://www.linkedin.com/company/tuchel-&amp;-sohn-gmbh/</t>
  </si>
  <si>
    <t>https://tuchel-sohn.com</t>
  </si>
  <si>
    <t>contact@tuchel-sohn.com</t>
  </si>
  <si>
    <t>Food and Beverage; Manufacturing; Supply Chain Management</t>
  </si>
  <si>
    <t>finance; management; marketing; operations</t>
  </si>
  <si>
    <t>Aakansha Naturprodukte</t>
  </si>
  <si>
    <t>aakansha-naturprodukte</t>
  </si>
  <si>
    <t>c3ad16e7-c516-44df-9d4b-99f8f810ac86</t>
  </si>
  <si>
    <t>Aakansha - Naturprodukte GmbH imports and trades organic and conventional plant-based ingredients for food and natural cosmetics.</t>
  </si>
  <si>
    <t>Aakansha - Naturprodukte GmbH imports and trades organic and conventional plant-based ingredients for the food, food supplement, and natural cosmetics industries. The company offers powders, extracts, and cut raw materials such as turmeric, ashwagandha, psyllium husk, rosehip, maca, moringa, black pepper, and curry leaf. It focuses on controlled and certified quality, including organic certification and IFS Broker certification. Products are tested by accredited laboratories at various points in the supply chain. The firm supports manufacturers seeking botanical raw materials for diverse applications.</t>
  </si>
  <si>
    <t>https://www.linkedin.com/company/aakansha---naturprodukte-gmbh</t>
  </si>
  <si>
    <t>https://www.aakansha-naturprodukte.com</t>
  </si>
  <si>
    <t>info@aakansha-naturprodukte.com</t>
  </si>
  <si>
    <t>+49 0 40 43 18 08 55</t>
  </si>
  <si>
    <t>Cosmetics; Food and Beverage; Food Processing; Nutraceutical; Organic; Plant-Based Foods; Supply Chain Management</t>
  </si>
  <si>
    <t>NEOGY</t>
  </si>
  <si>
    <t>neogy-18e0</t>
  </si>
  <si>
    <t>907fe0c0-8c65-49b5-bcd7-0e10122f18e0</t>
  </si>
  <si>
    <t>NEOGY is an energy company that produces powerful connections and supplies wind energy, photovoltaics, hydropower, and biogas.</t>
  </si>
  <si>
    <t>https://www.linkedin.com/company/neogyenergiebau/</t>
  </si>
  <si>
    <t>https://www.neogy-energiebau.de</t>
  </si>
  <si>
    <t>info@neogy-energiebau.de</t>
  </si>
  <si>
    <t>+49 15151086700</t>
  </si>
  <si>
    <t>Electrical Distribution; Energy; Hydroelectric; Supply Chain Management</t>
  </si>
  <si>
    <t>Wiek Spedition</t>
  </si>
  <si>
    <t>wiek-spedition</t>
  </si>
  <si>
    <t>f166dcc7-b2a9-46c8-81b7-c77227f5bbf9</t>
  </si>
  <si>
    <t>Wiek Spedition is a container transport company that offers goods and refrigerated transport services.</t>
  </si>
  <si>
    <t>https://www.linkedin.com/company/wiek-spedition-hamburg</t>
  </si>
  <si>
    <t>https://www.wiek-spedition.de</t>
  </si>
  <si>
    <t>cs@wiek-spedition.de</t>
  </si>
  <si>
    <t>+ 49 404109890</t>
  </si>
  <si>
    <t>Fleet Management; Supply Chain Management; Transportation</t>
  </si>
  <si>
    <t>TKM Global</t>
  </si>
  <si>
    <t>tkm-global</t>
  </si>
  <si>
    <t>76611ad2-bf8d-416c-8789-e4bf4e32694b</t>
  </si>
  <si>
    <t>TKM Global provides global supply chain and India-centric logistics services.</t>
  </si>
  <si>
    <t>https://www.linkedin.com/company/tkm-global</t>
  </si>
  <si>
    <t>https://www.tkmglobal.net</t>
  </si>
  <si>
    <t>ea@tkmglobal.net</t>
  </si>
  <si>
    <t>49 40 2388020</t>
  </si>
  <si>
    <t>Worldwide Consultants in Logistics</t>
  </si>
  <si>
    <t>worldwide-consultants-in-logistics</t>
  </si>
  <si>
    <t>91d14bd9-3dd4-4e8e-b779-31ae5f79d871</t>
  </si>
  <si>
    <t>Worldwide Consultants in Logistics is a logistics and supply chain consulting firm that offers executive search and recruitment services.</t>
  </si>
  <si>
    <t>https://www.linkedin.com/company/wcl---worldwide-consultants-in-logistics/</t>
  </si>
  <si>
    <t>https://www.wcl.de</t>
  </si>
  <si>
    <t>office@wcl.de</t>
  </si>
  <si>
    <t>+49 40 8000 43751</t>
  </si>
  <si>
    <t>Management Consulting; Recruiting; Staffing Agency</t>
  </si>
  <si>
    <t>Adoria Freight</t>
  </si>
  <si>
    <t>adoria-freight</t>
  </si>
  <si>
    <t>28f85f12-c4d3-4b20-a0ae-9b603ca4cb89</t>
  </si>
  <si>
    <t>Adoria Freight GmbH provides freight forwarding, food logistics, customs clearance, air, sea, and land transport, and warehousing.</t>
  </si>
  <si>
    <t>Adoria Freight GmbH provides international freight forwarding and logistics services with a focus on food logistics and customs clearance. The company offers door-to-door transport solutions across air, sea and land, including temperature-controlled shipments for food and pharmaceutical products. Its portfolio covers warehousing near the Port of Hamburg, fiscal customs clearance, and acting as a customs agency for complex food imports such as olive oil and confectionery. Adoria Freight also organizes transports for plastic scrap, stone and marble, and supports clients with logistics planning and consulting. The company holds an AEO-F certificate and operates a branch office in Bremen for refrigerated food logistics.</t>
  </si>
  <si>
    <t>https://www.linkedin.com/company/adoria-freight-gmbh</t>
  </si>
  <si>
    <t>https://www.adoriafreight.com</t>
  </si>
  <si>
    <t>info@adoriafreight.com</t>
  </si>
  <si>
    <t>+49 40 669 079 40</t>
  </si>
  <si>
    <t>Freight Service; Logistics; Shipping; Supply Chain Management; Transportation; Warehousing</t>
  </si>
  <si>
    <t>Pharmedix</t>
  </si>
  <si>
    <t>pharmedix-950e</t>
  </si>
  <si>
    <t>4ab96b47-4d30-469d-b536-2021b3da950e</t>
  </si>
  <si>
    <t>Pharmedix is a manufacturing company specializes in the development, marketing and distribution of products and brands in healthcare sector.</t>
  </si>
  <si>
    <t>https://www.linkedin.com/company/pharmedix-gmbh/</t>
  </si>
  <si>
    <t>https://pharmedix.de/</t>
  </si>
  <si>
    <t>info@pharmedix.de</t>
  </si>
  <si>
    <t>+49 0403-346 -5941</t>
  </si>
  <si>
    <t>Health Care; Logistics; Supply Chain Management</t>
  </si>
  <si>
    <t>Aves One</t>
  </si>
  <si>
    <t>aves-one</t>
  </si>
  <si>
    <t>678fa774-caad-49a4-a6e1-81fc35e37183</t>
  </si>
  <si>
    <t>public</t>
  </si>
  <si>
    <t>Aves One is a logistics and supply chain company.</t>
  </si>
  <si>
    <t>Aves One is a holder of logistics assets with a focus on railway goods wagons. Their inventory includes standard shipping containers, swap trailers for road transport, and logistics properties. They serve customers include railway companies, industrial, and logistics companies.</t>
  </si>
  <si>
    <t>https://www.linkedin.com/company/avesone/</t>
  </si>
  <si>
    <t>https://www.avesone.com/</t>
  </si>
  <si>
    <t>info@avesone.com</t>
  </si>
  <si>
    <t>49(0)40/696528350</t>
  </si>
  <si>
    <t>Daniel Grosch</t>
  </si>
  <si>
    <t>Finance; Logistics; Supply Chain Management</t>
  </si>
  <si>
    <t>H.D.Cotterell</t>
  </si>
  <si>
    <t>h-d-cotterell</t>
  </si>
  <si>
    <t>367dedf9-4400-4870-84df-8c4077edd698</t>
  </si>
  <si>
    <t>1890-01-01</t>
  </si>
  <si>
    <t>H.D.Cotterell GmbH &amp; Co. KG sources and trades food-grade raw materials, offering quality checks, logistics, and documentation support.</t>
  </si>
  <si>
    <t>H.D.Cotterell GmbH &amp; Co. KG operates as a trading partner for food-grade raw materials and ingredients. The company sources selected commodities from producers, coordinates procurement, and manages order execution for manufacturing clients. Services include supplier qualification, specification handling, quality checks with accredited labs, and coordination of transport, storage, customs, and documentation. The portfolio covers agricultural inputs and processed ingredients tailored to food industry requirements, with batch traceability and certification management on request. Customer support spans sample provision, contract administration, and scheduling to align deliveries with production plans.</t>
  </si>
  <si>
    <t>https://www.linkedin.com/company/cotterell-hamburg</t>
  </si>
  <si>
    <t>https://cotterell.de</t>
  </si>
  <si>
    <t>info@cotterell.de</t>
  </si>
  <si>
    <t>+49 40 317875 0</t>
  </si>
  <si>
    <t>Agriculture; Customer Service; Food and Beverage; Food Processing; Logistics; Quality Assurance; Retail; Supply Chain Management; Transportation; Wholesale</t>
  </si>
  <si>
    <t>Biotech Vendor</t>
  </si>
  <si>
    <t>biotech-vendor</t>
  </si>
  <si>
    <t>a34ed572-2649-4abf-9957-56bb4487d3b7</t>
  </si>
  <si>
    <t>Biotech Vendor provides customized vendor speed dating showcases, summits, seminars, and corporate culture events for biopharma companies.</t>
  </si>
  <si>
    <t>Biotech Vendor works with biopharma companies and research institutes to optimize vendor management and supply chain by customizing showcases, scientific summits, seminars, and corporate culture and special events.</t>
  </si>
  <si>
    <t>https://www.linkedin.com/company/biotech-vendor-services-inc./</t>
  </si>
  <si>
    <t>https://www.bvsconnection.com/</t>
  </si>
  <si>
    <t>info@bvsconnection.com</t>
  </si>
  <si>
    <t>+1 858 573-9331</t>
  </si>
  <si>
    <t>Biopharma; Consulting; Events</t>
  </si>
  <si>
    <t>La Jolla</t>
  </si>
  <si>
    <t>United States</t>
  </si>
  <si>
    <t>OPSI Systems</t>
  </si>
  <si>
    <t>opsi-systems</t>
  </si>
  <si>
    <t>ec05798a-e75e-4bf2-bf6e-6d53a8728e9d</t>
  </si>
  <si>
    <t>OPSI Systems provides software solutions and consulting for transport planning and optimization.</t>
  </si>
  <si>
    <t>https://www.linkedin.com/company/opsi-systems/?originalSubdomain=za</t>
  </si>
  <si>
    <t>https://opsisystems.com</t>
  </si>
  <si>
    <t>+27 11 880 7951</t>
  </si>
  <si>
    <t>Johannesburg</t>
  </si>
  <si>
    <t>South Africa</t>
  </si>
  <si>
    <t>engineering; management; medical_science; pro_services; sales</t>
  </si>
  <si>
    <t>Sas R &amp; D Services</t>
  </si>
  <si>
    <t>sas-r-d-services</t>
  </si>
  <si>
    <t>372f887f-d081-4757-a56d-e63a17c692ce</t>
  </si>
  <si>
    <t>Sas R &amp; D Services specializes in manufacturing and supplying security equipment and accessories.</t>
  </si>
  <si>
    <t>https://www.linkedin.com/company/sas-r-&amp;-d-services-inc./</t>
  </si>
  <si>
    <t>https://www.sasrad.com/</t>
  </si>
  <si>
    <t>info@sasrad.com</t>
  </si>
  <si>
    <t>+1 9544322345</t>
  </si>
  <si>
    <t>Hardware; Manufacturing; Security; Supply Chain Management</t>
  </si>
  <si>
    <t>Pembroke Pines</t>
  </si>
  <si>
    <t>Beirut Express</t>
  </si>
  <si>
    <t>beirut-express</t>
  </si>
  <si>
    <t>40b3029f-946f-429e-902b-99c2596019c5</t>
  </si>
  <si>
    <t>Beirut Express operates within the logistics and freight forwarding industry, offering services and transportation.</t>
  </si>
  <si>
    <t>Beirut Express operates in the logistics and freight forwarding industry, providing services related to the transportation of goods by air, sea, and road. The company manages the movement of household goods, personal effects, exhibition materials, and large-scale project cargo. It also handles warehousing and logistics coordination to support the distribution and relocation needs of its clients. It is affiliated with international trade and freight associations, which places it within established regulatory and operational frameworks. Its operations reflect standard practices in global supply chain management and cross-border transport logistics.</t>
  </si>
  <si>
    <t>https://www.beirutexpress.com</t>
  </si>
  <si>
    <t>customersupport@beirutexpress.com</t>
  </si>
  <si>
    <t>00961 1 341 400</t>
  </si>
  <si>
    <t>Consulting; Logistics; Transportation</t>
  </si>
  <si>
    <t>Hamra</t>
  </si>
  <si>
    <t>United Arab Emirates</t>
  </si>
  <si>
    <t>Ganioƒüullarƒ±</t>
  </si>
  <si>
    <t>ganioƒüullarƒ±</t>
  </si>
  <si>
    <t>f15544dc-614e-4c3f-97eb-c3623efacb40</t>
  </si>
  <si>
    <t>Ganioƒüullarƒ± Limited ≈ûirketi specializes in transportation, logistics, and supply chain solutions, with a focus on safety.</t>
  </si>
  <si>
    <t>Ganioƒüullarƒ± Limited ≈ûirketi operates in the transportation, logistics, supply chain, and storage sector. With a team size of 11-50 employees, the company focuses on providing solutions that streamline logistics and storage processes. It has been recognized for its significant growth, ranking among the top 100 companies in Turkey based on sales revenue growth rate for the 2019-2021 period. Additionally, Ganioƒüullarƒ± has partnerships for the sales and marketing of ARC and Flame Protective clothing in Turkey, showcasing its commitment to safety and quality in its service offerings.</t>
  </si>
  <si>
    <t>https://www.linkedin.com/company/ganio%C4%9Fullar%C4%B1-limited-%C5%9Firketi/</t>
  </si>
  <si>
    <t>https://ganiogullari.com.tr</t>
  </si>
  <si>
    <t>info@ganiogullari.com.tr</t>
  </si>
  <si>
    <t>+90 312 219 46 19</t>
  </si>
  <si>
    <t>Yenimahalle</t>
  </si>
  <si>
    <t>Turkey</t>
  </si>
  <si>
    <t>finance; operations</t>
  </si>
  <si>
    <t>Engineers Parcel</t>
  </si>
  <si>
    <t>engineers-parcel</t>
  </si>
  <si>
    <t>7c1a4334-c8c3-436b-aee5-930fcf1b69bf</t>
  </si>
  <si>
    <t>Engineers Parcel provides logistics solutions, including parcel delivery, shifting, tracking, and packing and moving services.</t>
  </si>
  <si>
    <t>Engineers Parcel operates in the transportation, logistics, and supply chain industry. The company offers a range of logistics solutions, including parcel delivery, shifting services, and tracking. It caters to various delivery needs, from food and cake delivery to courier and post services. The company also provides packing and moving services. Engineers Parcel is known for its secure and hygienic delivery services, ensuring the safe transportation of goods from one place to another.</t>
  </si>
  <si>
    <t>https://www.linkedin.com/company/engineers-parcel</t>
  </si>
  <si>
    <t>https://engineersparcel.in</t>
  </si>
  <si>
    <t>engineersparcel@gmail.com</t>
  </si>
  <si>
    <t>+91 9525801506</t>
  </si>
  <si>
    <t>Delivery; Delivery Service; Logistics; Packaging Services; Transportation</t>
  </si>
  <si>
    <t>Dhanbad</t>
  </si>
  <si>
    <t>India</t>
  </si>
  <si>
    <t>TSF Coventry Ltd</t>
  </si>
  <si>
    <t>tsf-coventry-ltd</t>
  </si>
  <si>
    <t>40769be0-b738-f5aa-0fd7-bf8722a612c0</t>
  </si>
  <si>
    <t>TSF (Coventry), a leading supplier and stockholder to structural steels across the Coventry and neighboring parts.</t>
  </si>
  <si>
    <t>TSF (Coventry), a leading supplier and stockholder to structural steels across the Coventry, Leamington, Solihull, Warwick, and neighboring parts. With over 15 years of experience in the construction industry, the company has served its clients locally and globally with bespoke services to aluminium and stainless steel materials. We become the great stockists to different types of RSJ and steel beams with Structural Tees and columns mainly used for residential, commercial or industrial units. Our engineers are ready to serve you with wide range of structural steel varying in shape, size, width or length. We also deal with finished goods of structural steel with an assurance to on-time delivery.</t>
  </si>
  <si>
    <t>https://www.linkedin.com/company/tsf-coventry</t>
  </si>
  <si>
    <t>http://www.tsfcoventry.co.uk/</t>
  </si>
  <si>
    <t>howard@tsfcoventry.co.uk</t>
  </si>
  <si>
    <t>+44 24 7667 7300</t>
  </si>
  <si>
    <t>Advanced Materials; Industrial; Supply Chain Management</t>
  </si>
  <si>
    <t>Coventry</t>
  </si>
  <si>
    <t>United Kingdom</t>
  </si>
  <si>
    <t>Annihilare</t>
  </si>
  <si>
    <t>annihilare</t>
  </si>
  <si>
    <t>9fdb40e9-f8ea-455c-8e8a-77e54e56c332</t>
  </si>
  <si>
    <t>Annihilare is a manufacturing company that specializes in producing and supplying cleaning chemical products.</t>
  </si>
  <si>
    <t>https://www.linkedin.com/company/annihilare-inc/</t>
  </si>
  <si>
    <t>https://annihilare.com</t>
  </si>
  <si>
    <t>parker.sipes@annihilare.com</t>
  </si>
  <si>
    <t>Marty Paris</t>
  </si>
  <si>
    <t>Charlotte</t>
  </si>
  <si>
    <t>engineering; human_resources; management; marketing</t>
  </si>
  <si>
    <t>Acx Group</t>
  </si>
  <si>
    <t>acx-group</t>
  </si>
  <si>
    <t>4f3f4714-018e-47cc-89ba-3eec451a7591</t>
  </si>
  <si>
    <t>Acx Group is a logistics company specialized in supply chain management and warehousing.</t>
  </si>
  <si>
    <t>https://www.linkedin.com/company/acx-group</t>
  </si>
  <si>
    <t>https://www.acxgroup.com.br</t>
  </si>
  <si>
    <t>55 13 3232.2525</t>
  </si>
  <si>
    <t>Logistics; Supply Chain Management; Warehousing</t>
  </si>
  <si>
    <t>Santos</t>
  </si>
  <si>
    <t>Brazil</t>
  </si>
  <si>
    <t>engineering; medical_science</t>
  </si>
  <si>
    <t>Industrial Woodkraft</t>
  </si>
  <si>
    <t>industrial-woodkraft</t>
  </si>
  <si>
    <t>f0ba924a-0657-41ea-a5a6-6a00b54ca7d5</t>
  </si>
  <si>
    <t>Industrial Woodkraft is a manufacturer of pallets, crates, and packaging products.</t>
  </si>
  <si>
    <t>Industrial Woodkraft  is a manufacturer of pallets, crating, and a warehouse distributor of packaging supplies and equipment. Their warehouse stock a wide range of packaging supplies for rapid delivery and service to their customers.</t>
  </si>
  <si>
    <t>https://www.linkedin.com/company/industrial-woodkraft-inc</t>
  </si>
  <si>
    <t>https://industrialwoodkraft.com</t>
  </si>
  <si>
    <t>david.lockhart@iwoodkraft.com</t>
  </si>
  <si>
    <t>+1  812 897 4893</t>
  </si>
  <si>
    <t>Delivery; Manufacturing; Supply Chain Management; Warehousing</t>
  </si>
  <si>
    <t>Boonville</t>
  </si>
  <si>
    <t>Ardfert Quarry</t>
  </si>
  <si>
    <t>ardfert-quarry</t>
  </si>
  <si>
    <t>5ef00194-af50-4286-b7bd-bc15682aa5ad</t>
  </si>
  <si>
    <t>Ardfert Quarry is a manufacturer and supplier of concrete, blocks, stone, and lime.</t>
  </si>
  <si>
    <t>https://www.linkedin.com/company/ardfert-quarry-products</t>
  </si>
  <si>
    <t>https://aqp.ie/</t>
  </si>
  <si>
    <t>info@aqp.ie</t>
  </si>
  <si>
    <t>353 667134144</t>
  </si>
  <si>
    <t>Pat O‚ÄôCarroll</t>
  </si>
  <si>
    <t>Building Material; Manufacturing; Supply Chain Management</t>
  </si>
  <si>
    <t>Dublin</t>
  </si>
  <si>
    <t>Ireland</t>
  </si>
  <si>
    <t>Central Medical Supplies</t>
  </si>
  <si>
    <t>central-medical-supplies</t>
  </si>
  <si>
    <t>d70e06d2-5003-4fea-a45b-af6198b83856</t>
  </si>
  <si>
    <t>Central Medical Supplies provides critical care and neonatal equipment supply services.</t>
  </si>
  <si>
    <t>https://www.linkedin.com/company/central-medical-supplies</t>
  </si>
  <si>
    <t xml:space="preserve">https://www.centralmedical.co.uk </t>
  </si>
  <si>
    <t>info@centralmedical.co.uk</t>
  </si>
  <si>
    <t>01538 399 541</t>
  </si>
  <si>
    <t>Health Care; Medical; Medical Device; Retail; Supply Chain Management</t>
  </si>
  <si>
    <t>Stafford</t>
  </si>
  <si>
    <t>engineering; finance; management; medical_science; operations; sales</t>
  </si>
  <si>
    <t>J2 Gestion D'approvisionnement</t>
  </si>
  <si>
    <t>j2-gestion-d-approvisionnement</t>
  </si>
  <si>
    <t>1314076a-5590-4e01-b8cf-167912db12b5</t>
  </si>
  <si>
    <t>J2 Gestion D'approvisionnement is a logistics supply chain management company located in Longueuil.</t>
  </si>
  <si>
    <t>https://www.linkedin.com/company/j2-gestion-d'approvisionnement</t>
  </si>
  <si>
    <t>https://www.j2-inc.ca</t>
  </si>
  <si>
    <t>Innovation Management; Logistics; Supply Chain Management</t>
  </si>
  <si>
    <t>Longueuil</t>
  </si>
  <si>
    <t>Canada</t>
  </si>
  <si>
    <t>Avon Freight Group</t>
  </si>
  <si>
    <t>avon-freight-group</t>
  </si>
  <si>
    <t>292c005f-900f-4fe6-a8b9-86cb0059bca2</t>
  </si>
  <si>
    <t>Avon Freight Group is a dependable and cost-effective freight, distribution, and warehousing service, provider.</t>
  </si>
  <si>
    <t>https://www.linkedin.com/company/avon-freight-group/</t>
  </si>
  <si>
    <t>https://www.avonfreightgroup.co.uk</t>
  </si>
  <si>
    <t>enquiries@avonfreightgroup.co.uk</t>
  </si>
  <si>
    <t>01527 838500</t>
  </si>
  <si>
    <t>Logistics; Supply Chain Management</t>
  </si>
  <si>
    <t>Redditch</t>
  </si>
  <si>
    <t>C&amp;D Logistics</t>
  </si>
  <si>
    <t>c-d-logistics</t>
  </si>
  <si>
    <t>bd4d06ca-bc75-40c5-adba-cd1b1ec8f914</t>
  </si>
  <si>
    <t>C&amp;d Logistics Ltd is a logistics supply chain management company located in Langley.</t>
  </si>
  <si>
    <t>https://www.linkedin.com/company/c&amp;d-logistics-ltd</t>
  </si>
  <si>
    <t>https://www.cdlogistics.ca</t>
  </si>
  <si>
    <t>Langley</t>
  </si>
  <si>
    <t>finance; human_resources; management; operations; pro_services; sales</t>
  </si>
  <si>
    <t>Bhansali Steel</t>
  </si>
  <si>
    <t>bhansali-steel-ddc6</t>
  </si>
  <si>
    <t>dd68c938-c1c3-44d5-914f-addd07c5ddc6</t>
  </si>
  <si>
    <t>Bhansali Steel is a significant Pipe Fittings Manufacturer and Supplier in India.</t>
  </si>
  <si>
    <t>https://www.linkedin.com/company/bhansali-steels</t>
  </si>
  <si>
    <t>https://bhansalisteels.com/</t>
  </si>
  <si>
    <t>info@bhansalisteels.com</t>
  </si>
  <si>
    <t>+91 96196 12233</t>
  </si>
  <si>
    <t>Mumbai</t>
  </si>
  <si>
    <t>Gest√£o Empresarial &amp; Outsourcing</t>
  </si>
  <si>
    <t>gest√£o-empresarial-outsourcing</t>
  </si>
  <si>
    <t>a8cc9617-91b0-4d69-9b51-4a77f7f3274d</t>
  </si>
  <si>
    <t>Gest√£o Empresarial &amp; Outsourcing provides business consulting, purchasing, contracting, and Business Process Outsourcing services.</t>
  </si>
  <si>
    <t>Gest√£o Empresarial &amp; Outsourcing operates in business consulting and services, focusing on purchasing and contracting materials, equipment, and services for businesses. The company offers BPO services, where it manages specific business processes to enhance efficiency and optimize demand. It provides solutions aimed at cost savings, demand optimization, and process improvement. The company serves clients across the country, helping businesses streamline operations and achieve better resource management. Its approach is centered on delivering effective and practical solutions to improve overall business performance.</t>
  </si>
  <si>
    <t>https://www.linkedin.com/company/gso---gest%C3%A3o-empresarial-&amp;-outsourcing/</t>
  </si>
  <si>
    <t>https://www.gso.adm.br</t>
  </si>
  <si>
    <t>+55 71 2137 0585</t>
  </si>
  <si>
    <t>Business Development; Management Consulting; Outsourcing; Supply Chain Management</t>
  </si>
  <si>
    <t>Salvador</t>
  </si>
  <si>
    <t>Stock &amp; Bailey</t>
  </si>
  <si>
    <t>stock-bailey</t>
  </si>
  <si>
    <t>c253c487-b36e-47c5-90a7-e9c575dfdead</t>
  </si>
  <si>
    <t>Stock &amp; Bailey is a food and beverage company that offers catering packages for parties, dinners, and corporate events.</t>
  </si>
  <si>
    <t>https://www.linkedin.com/company/stock-&amp;-bailey-catering/</t>
  </si>
  <si>
    <t>https://stockandbailey.co.uk/</t>
  </si>
  <si>
    <t>info@stockandbailey.co.uk</t>
  </si>
  <si>
    <t>+44 01787 373220</t>
  </si>
  <si>
    <t>Catering; Food and Beverage; Supply Chain Management</t>
  </si>
  <si>
    <t>Colchester</t>
  </si>
  <si>
    <t>Industrial Matt</t>
  </si>
  <si>
    <t>industrial-matt</t>
  </si>
  <si>
    <t>c121462d-826e-4d42-9246-56a0e4aba1fc</t>
  </si>
  <si>
    <t>Industrial Matt rents and sells regular laminated truck mats as well as heavy-duty crane mats.</t>
  </si>
  <si>
    <t>https://www.industrialmatt.com</t>
  </si>
  <si>
    <t>+1 713-991-3338</t>
  </si>
  <si>
    <t>Advanced Materials; Manufacturing; Supply Chain Management</t>
  </si>
  <si>
    <t>Houston</t>
  </si>
  <si>
    <t>Zula360</t>
  </si>
  <si>
    <t>zula-360</t>
  </si>
  <si>
    <t>e2e9f065-afb5-41f8-9d95-6c82856bac54</t>
  </si>
  <si>
    <t>Zula 360 offers a SaaS platform for supply chain, logistics management, and field services.</t>
  </si>
  <si>
    <t>Zula 360 provides a state-of-the-art SaaS platform designed to support the supply chain, logistics management, and field services industries. The platform aims to remove barriers and challenges associated with working between multiple systems and disparate data. Zula 360 offers a mobile application that allows users to track and fulfill various operational tasks efficiently. The company focuses on digital enablement to streamline business operations and optimize routing solutions.</t>
  </si>
  <si>
    <t>https://www.linkedin.com/company/zula-360/</t>
  </si>
  <si>
    <t>https://zula360.com</t>
  </si>
  <si>
    <t>+27 0836424993</t>
  </si>
  <si>
    <t>Apps; Enterprise Resource Planning (ERP); Internet of Things; Supply Chain Management</t>
  </si>
  <si>
    <t>Bryanston</t>
  </si>
  <si>
    <t>Surovi Enterprise</t>
  </si>
  <si>
    <t>surovi-enterprise</t>
  </si>
  <si>
    <t>45c97760-2760-49d1-a4dc-64c03e660fb9</t>
  </si>
  <si>
    <t>Surovi Enterprise Ltd. offers computer hardware, accessories, and IT equipment with warranty and after-sales support.</t>
  </si>
  <si>
    <t>https://www.linkedin.com/company/surovi-enterprise-ltd</t>
  </si>
  <si>
    <t>https://www.surovienterprise.net</t>
  </si>
  <si>
    <t>sales@surovienterprise.net</t>
  </si>
  <si>
    <t>+880 1896005975</t>
  </si>
  <si>
    <t>Consumer Electronics; Hardware; Supply Chain Management</t>
  </si>
  <si>
    <t>Dhaka</t>
  </si>
  <si>
    <t>Bangladesh</t>
  </si>
  <si>
    <t>Manx Healthcare</t>
  </si>
  <si>
    <t>manx-healthcare</t>
  </si>
  <si>
    <t>97e1d6ed-18a2-48f1-afb6-2f439596e37a</t>
  </si>
  <si>
    <t>Manx Healthcare specializes in manufacturing, developing, and distributing generic and over counter pharmaceutical products.</t>
  </si>
  <si>
    <t>https://www.linkedin.com/company/manx-healthcare-limited/</t>
  </si>
  <si>
    <t>https://www.manxhealthcare.com/</t>
  </si>
  <si>
    <t>info@manxhealthcare.co.uk</t>
  </si>
  <si>
    <t>Health Care; Manufacturing; Pharmaceutical; Supply Chain Management</t>
  </si>
  <si>
    <t>Warwick</t>
  </si>
  <si>
    <t>management; operations</t>
  </si>
  <si>
    <t>InstaRecon</t>
  </si>
  <si>
    <t>instarecon</t>
  </si>
  <si>
    <t>2c080e1e-c2b6-4179-835d-dc6d9fff3978</t>
  </si>
  <si>
    <t>InstaRecon provides software services to imaging scanner equipment makers and supply chain partners.</t>
  </si>
  <si>
    <t>https://www.linkedin.com/company/instarecon-inc/</t>
  </si>
  <si>
    <t>https://instarecon.com/</t>
  </si>
  <si>
    <t>bresler@instarecon.com</t>
  </si>
  <si>
    <t>1-217-721-1479</t>
  </si>
  <si>
    <t>Image Recognition; Information Technology; Software</t>
  </si>
  <si>
    <t>Champaign</t>
  </si>
  <si>
    <t>Knapp Polly Pig</t>
  </si>
  <si>
    <t>knapp-polly-pig</t>
  </si>
  <si>
    <t>9558ab54-2292-4541-a035-14fc1a7c7ca7</t>
  </si>
  <si>
    <t>Knapp Polly Pig is a manufacturer of pipeline utility pigs.</t>
  </si>
  <si>
    <t>Knapp manufactures a comprehensive line of pipeline spheres that includes inflatable, solid-cast urethane, and solid-cast with a foam core. The originator of the Polly Pig, Knapp continues to lead the industry in manufacturing the complete line of pigs. Knapp manufactures custom-designed pigs for specific applications that require more from a pig than is offered by standard off-the-shelf pigs.</t>
  </si>
  <si>
    <t>https://www.linkedin.com/company/knapp-polly-pig-inc-/</t>
  </si>
  <si>
    <t>http://www.pollypig.com</t>
  </si>
  <si>
    <t>knapp@pollypig.com</t>
  </si>
  <si>
    <t>+1 713 222 0146</t>
  </si>
  <si>
    <t>Customer Service; Manufacturing; Product Design; Supply Chain Management</t>
  </si>
  <si>
    <t>Mila √Ökeri</t>
  </si>
  <si>
    <t>mila-√•keri</t>
  </si>
  <si>
    <t>83239dca-ee2c-4254-969d-ba8f0d5829fd</t>
  </si>
  <si>
    <t>Mila √Ökeri is a transportation company that provides domestic parcel transportation, fleet management, and logistics services.</t>
  </si>
  <si>
    <t>http://www.milaakeri.se</t>
  </si>
  <si>
    <t>bokning@milaakeri.se</t>
  </si>
  <si>
    <t>+46 05 221 5860</t>
  </si>
  <si>
    <t>Lars Johansson; Mikael Sundberg</t>
  </si>
  <si>
    <t>Fleet Management; Logistics; Supply Chain Management; Transportation</t>
  </si>
  <si>
    <t>Uddevalla</t>
  </si>
  <si>
    <t>Sweden</t>
  </si>
  <si>
    <t>Okyay Global Logistics Solution</t>
  </si>
  <si>
    <t>okyay-global-logistics-solution</t>
  </si>
  <si>
    <t>fe0876b9-1790-48b2-9200-a8dc39ca4478</t>
  </si>
  <si>
    <t>Okyay Global Logistics Solutions offers global transportation services via road, air, sea, and rail.</t>
  </si>
  <si>
    <t>Okyay Global Logistics Solutions provides comprehensive global transportation services, including international road, air, sea, and rail freight. The company specializes in intermodal transportation, project logistics, and timely deliveries. It aims to create value for customers by reducing time and costs through a wide range of logistics solutions. The company also offers specialized handling for oversized loads and has a strong organizational infrastructure supported by a skilled team.</t>
  </si>
  <si>
    <t>https://www.linkedin.com/company/okyay-global-logistics-solutions/</t>
  </si>
  <si>
    <t>https://okyaygloballogistics.com</t>
  </si>
  <si>
    <t>info@okyaylojistik.com</t>
  </si>
  <si>
    <t>+90 232 999 1 299</t>
  </si>
  <si>
    <t>Izmir</t>
  </si>
  <si>
    <t>TTG</t>
  </si>
  <si>
    <t>ttg-9c6a</t>
  </si>
  <si>
    <t>63ee3253-c8d0-4d2c-ae78-015d74929c6a</t>
  </si>
  <si>
    <t>TTG is a cargo transportation company that specializes in freight, supply chain management, logistics, and fleet management services.</t>
  </si>
  <si>
    <t>https://www.linkedin.com/company/ttg-transtehcnogroup-/</t>
  </si>
  <si>
    <t>https://www.ttggroup.ru/</t>
  </si>
  <si>
    <t>zapros@ttggroup.ru</t>
  </si>
  <si>
    <t>Moscow</t>
  </si>
  <si>
    <t>Russian Federation</t>
  </si>
  <si>
    <t>Greycheck</t>
  </si>
  <si>
    <t>greycheck</t>
  </si>
  <si>
    <t>91b5471b-8c8a-40b6-a0e0-dd600e6e5909</t>
  </si>
  <si>
    <t>Greycheck offers consulting services to suppliers and purchasers of uniforms and corporate wear.</t>
  </si>
  <si>
    <t>https://www.linkedin.com/in/bobtayloratgreycheck</t>
  </si>
  <si>
    <t>https://greycheck.com</t>
  </si>
  <si>
    <t>bobtaylor@greycheck.com</t>
  </si>
  <si>
    <t>Consulting; Fashion; Supply Chain Management</t>
  </si>
  <si>
    <t>London</t>
  </si>
  <si>
    <t>Magnetic Separations</t>
  </si>
  <si>
    <t>magnetic-separations</t>
  </si>
  <si>
    <t>b10b9021-d753-446a-9d35-cf4a4c600af6</t>
  </si>
  <si>
    <t>Magnetic Separations is a manufacturing company that produces and supplies magnetic separator products for the food and beverage industries.</t>
  </si>
  <si>
    <t>http://www.magneticseparations.com</t>
  </si>
  <si>
    <t>contact@magneticseparations.com</t>
  </si>
  <si>
    <t>Manufacturing; Recycling; Supply Chain Management</t>
  </si>
  <si>
    <t>Wallington</t>
  </si>
  <si>
    <t>Omega Middle</t>
  </si>
  <si>
    <t>omega-middle</t>
  </si>
  <si>
    <t>8f494b18-ca43-4b94-b7bf-3058151f058f</t>
  </si>
  <si>
    <t>Omega Middle specializes in the supply of instrumentation equipment and valves for the Oil &amp; Gas, power, water and other process industries.</t>
  </si>
  <si>
    <t>https://www.linkedin.com/company/omega-mepis-llc/</t>
  </si>
  <si>
    <t>http://www.omegamepis.com</t>
  </si>
  <si>
    <t>sales@omegamepis.com</t>
  </si>
  <si>
    <t>971-2-674-9729</t>
  </si>
  <si>
    <t>Oil and Gas; Supply Chain Management; Water</t>
  </si>
  <si>
    <t>Abu Dhabi</t>
  </si>
  <si>
    <t>Otten-Automaterialen</t>
  </si>
  <si>
    <t>otten-automaterialen</t>
  </si>
  <si>
    <t>bcd607be-df8e-4bb3-96ab-1423fcc077e4</t>
  </si>
  <si>
    <t>Otten-Automaterialen is an auto parts supplier company.</t>
  </si>
  <si>
    <t>https://www.linkedin.com/company/otten-automaterialen</t>
  </si>
  <si>
    <t>https://www.otten-automaterialen.nl</t>
  </si>
  <si>
    <t>055-8431884</t>
  </si>
  <si>
    <t>Automotive; Service Industry; Supply Chain Management</t>
  </si>
  <si>
    <t>Apeldoorn</t>
  </si>
  <si>
    <t>The Netherlands</t>
  </si>
  <si>
    <t>TR Logistics Group</t>
  </si>
  <si>
    <t>tr-logistics-group</t>
  </si>
  <si>
    <t>b5eab4e5-6e30-46a9-afea-8e6e2bb8243f</t>
  </si>
  <si>
    <t>TR Logistics Group is a¬†transportation company that¬†provides warehousing, sea freight, and air freight services.</t>
  </si>
  <si>
    <t>TR Logistics Group offers¬†warehousing, air freight, road freight, ocean freight, and logistics services. They provide customs management, pre-delivery inspection, supply chain management, door-to-door shipping, and full container load services.</t>
  </si>
  <si>
    <t>https://www.linkedin.com/company/tr-logistics-group</t>
  </si>
  <si>
    <t>https://www.tr-logistics.com</t>
  </si>
  <si>
    <t>info@tr-logistics.com</t>
  </si>
  <si>
    <t>+44 28 9037 3750</t>
  </si>
  <si>
    <t>Tommy Rodgers</t>
  </si>
  <si>
    <t>Freight Service; Logistics; Transportation; Warehousing</t>
  </si>
  <si>
    <t>Belfast</t>
  </si>
  <si>
    <t>Instituut voor Zorg Optimalisatie (INSZO)</t>
  </si>
  <si>
    <t>instituut-voor-zorg-optimalisatie-inszo</t>
  </si>
  <si>
    <t>0eb45035-0d91-481a-84a1-fa3a24c81293</t>
  </si>
  <si>
    <t>INSZO uses data from laboratory &amp; pharmacy and converts big healthcare data into useful management information to supply.</t>
  </si>
  <si>
    <t>https://www.linkedin.com/company/meetpunt-kwaliteit</t>
  </si>
  <si>
    <t>http://www.meetpuntkwaliteit.nl</t>
  </si>
  <si>
    <t>hjvwerven@planet.nl</t>
  </si>
  <si>
    <t>31-854857230</t>
  </si>
  <si>
    <t>Health Care; Software; Supply Chain Management</t>
  </si>
  <si>
    <t>Utrecht</t>
  </si>
  <si>
    <t>R &amp; R Sales</t>
  </si>
  <si>
    <t>r-r-sales</t>
  </si>
  <si>
    <t>a1b4c7e6-d376-43d9-b255-86056ac8e8d5</t>
  </si>
  <si>
    <t>R &amp; R Sales is an automotive company that provides vehicle dealerships, financing, and maintenance services.</t>
  </si>
  <si>
    <t>https://www.linkedin.com/company/r&amp;r-sales-inc-/</t>
  </si>
  <si>
    <t>https://www.yeswecanauto.com/</t>
  </si>
  <si>
    <t>Automotive; Retail; Supply Chain Management</t>
  </si>
  <si>
    <t>Orland</t>
  </si>
  <si>
    <t>Moksa Brewing Company</t>
  </si>
  <si>
    <t>moksa-brewing-company</t>
  </si>
  <si>
    <t>92a6f49c-7434-48a4-adc5-2c53b8060fc0</t>
  </si>
  <si>
    <t>Moksa Brewing Company produces and distributes a wide array of handcrafted beer products, clothing, and accessories.</t>
  </si>
  <si>
    <t>https://www.linkedin.com/company/moksa-brewing-company/</t>
  </si>
  <si>
    <t>https://www.moksabrewing.com</t>
  </si>
  <si>
    <t>info@moksabrewing.com</t>
  </si>
  <si>
    <t>Brewing; Craft Beer; E-Commerce; Food and Beverage; Food Trucks; Retail; Supply Chain Management</t>
  </si>
  <si>
    <t>Rocklin</t>
  </si>
  <si>
    <t>Triple S Group</t>
  </si>
  <si>
    <t>triple-s-group</t>
  </si>
  <si>
    <t>d1f46d76-ea61-41ef-8728-c64b27bd57b5</t>
  </si>
  <si>
    <t>Triple S Group offers freight forwarding, supply chain management, air and sea cargo, and storage solutions for businesses.</t>
  </si>
  <si>
    <t>https://www.linkedin.com/company/triple-s-logistics</t>
  </si>
  <si>
    <t>https://www.triplesbd.com</t>
  </si>
  <si>
    <t>info@triplesbd.com</t>
  </si>
  <si>
    <t>+880 9613828181</t>
  </si>
  <si>
    <t>Freight Service; Logistics; Supply Chain Management; Transportation</t>
  </si>
  <si>
    <t>AA-USA</t>
  </si>
  <si>
    <t>aa-usa</t>
  </si>
  <si>
    <t>3bfcef16-a982-4ac1-a3e4-3af92685672a</t>
  </si>
  <si>
    <t>AA-USA is a wholesale food distributing company that offers logistics, freight, warehousing, and product labeling services.</t>
  </si>
  <si>
    <t>AA-USA is a wholesale food distributor. It offers logistics, freight, warehousing, and product labeling services. The company manages food supply chain operations. It supports storage and transportation needs.</t>
  </si>
  <si>
    <t>https://www.aausa.net</t>
  </si>
  <si>
    <t>info@aausa.net</t>
  </si>
  <si>
    <t>+1 813 369 5101</t>
  </si>
  <si>
    <t>Food and Beverage; Freight Service; Logistics; Wholesale</t>
  </si>
  <si>
    <t>Tampa</t>
  </si>
  <si>
    <t>Wedge Brackets</t>
  </si>
  <si>
    <t>wedge-brackets</t>
  </si>
  <si>
    <t>715642b5-dacc-4998-acd9-21114c550f87</t>
  </si>
  <si>
    <t>Wedge Brackets manufactures and sells seat brackets and sliders.</t>
  </si>
  <si>
    <t>Wedge Brackets offers seat brackets and sliders. They used the materials in their physical possession to create a seat bracket that would allow customers to install any aftermarket seat with few to no adjustments. They offer a lifetime warranty and will custom make a bracket if it malfunctions for any reason.</t>
  </si>
  <si>
    <t>https://wedgebrackets.com</t>
  </si>
  <si>
    <t>sales@wedgebrackets.com</t>
  </si>
  <si>
    <t>+1 801 912 0450</t>
  </si>
  <si>
    <t>Automotive; Manufacturing; Supply Chain Management</t>
  </si>
  <si>
    <t>Bluff Dale</t>
  </si>
  <si>
    <t>Lingtong Japan</t>
  </si>
  <si>
    <t>lingtong-japan</t>
  </si>
  <si>
    <t>3b21781d-b7a4-4f7a-a3a1-65b6e72e2dfe</t>
  </si>
  <si>
    <t>Lingtong Japan engages in logistics and SCM solutions.</t>
  </si>
  <si>
    <t>https://www.linkedin.com/company/%E8%8F%B1%E9%80%9A%E3%82%B8%E3%83%A3%E3%83%91%E3%83%B3%EF%BC%88%E6%A0%AA%EF%BC%89/</t>
  </si>
  <si>
    <t>http://www.lingtong.jp/</t>
  </si>
  <si>
    <t>sales@lingtong.jp</t>
  </si>
  <si>
    <t>03-5962-3762</t>
  </si>
  <si>
    <t>Advice; Logistics; Service Industry; Supply Chain Management</t>
  </si>
  <si>
    <t>Tokyo</t>
  </si>
  <si>
    <t>Japan</t>
  </si>
  <si>
    <t>Universal Motors Equipos Electromec√°nicos</t>
  </si>
  <si>
    <t>universal-motors-equipos-electromec√°nicos</t>
  </si>
  <si>
    <t>4ecd8087-31b3-4fdf-a522-ac9e11a25a88</t>
  </si>
  <si>
    <t>Universal Motors Equipos Electromec√°nicos is a distributor of electric motors.</t>
  </si>
  <si>
    <t>https://www.linkedin.com/company/motoriber-equipamientos-electromecanicos-sl/</t>
  </si>
  <si>
    <t>http://www.motoriber.es</t>
  </si>
  <si>
    <t>info@motoriber.es</t>
  </si>
  <si>
    <t>34-918 864 213</t>
  </si>
  <si>
    <t>Alcal√° De Henares</t>
  </si>
  <si>
    <t>Spain</t>
  </si>
  <si>
    <t>All Trades Distribution</t>
  </si>
  <si>
    <t>all-trades-distribution</t>
  </si>
  <si>
    <t>7d16b0d8-a2a9-4402-a993-e5b88a98d9bc</t>
  </si>
  <si>
    <t>All Trades Distribution provides construction, maintenance, and supply chain services.</t>
  </si>
  <si>
    <t>https://www.linkedin.com/company/all-trades/about/</t>
  </si>
  <si>
    <t>https://alltrades.net</t>
  </si>
  <si>
    <t>office@alltradesdistribution.com</t>
  </si>
  <si>
    <t>1 267-523-5051</t>
  </si>
  <si>
    <t>Construction; Consulting; Property Management; Real Estate</t>
  </si>
  <si>
    <t>Bensalem</t>
  </si>
  <si>
    <t>human_resources; management; operations; product; sales</t>
  </si>
  <si>
    <t>China-LatAm International Group</t>
  </si>
  <si>
    <t>china-latam-international-group</t>
  </si>
  <si>
    <t>2c37bf43-b22e-4422-8026-39a868b6fa65</t>
  </si>
  <si>
    <t>Su agencia mayorista en China</t>
  </si>
  <si>
    <t>Agencia Mayorista. Especialistas en compras, abastecimiento y cadena de suministros de bienes de consumo entre China y America Latina.</t>
  </si>
  <si>
    <t>https://www.china-latam.com</t>
  </si>
  <si>
    <t>Info@china-latam.com</t>
  </si>
  <si>
    <t>Consumer Goods; E-Commerce; Procurement; Supply Chain Management</t>
  </si>
  <si>
    <t>Ningbo</t>
  </si>
  <si>
    <t>China</t>
  </si>
  <si>
    <t>iDi Pac</t>
  </si>
  <si>
    <t>idi-pac</t>
  </si>
  <si>
    <t>878d3fb7-f989-44a5-b831-e77911c06df9</t>
  </si>
  <si>
    <t>iDi Pac offers packaging and supply chain solutions, focusing on eco-sustainability.</t>
  </si>
  <si>
    <t>iDi Pac is a professional services company specializing in solutions for packaging and supply chain challenges. The company supports businesses in improving product and supply chain efficiency. Services include eco-sustainability overhauls, cost trimming, business sustainability improvements, app-driven labels, track and trace, digital printing, and cloud-based solutions. iDi Pac delivers tailored solutions to tackle challenges in the packaging and supply chain sectors.</t>
  </si>
  <si>
    <t>https://www.linkedin.com/company/idi-pac-limited</t>
  </si>
  <si>
    <t>http://idipac.com</t>
  </si>
  <si>
    <t>tellmemore@idipac.com</t>
  </si>
  <si>
    <t>+44 01420 538055</t>
  </si>
  <si>
    <t>Christopher Waterhouse</t>
  </si>
  <si>
    <t>Consulting; Graphic Design; Packaging Services</t>
  </si>
  <si>
    <t>Petersfield</t>
  </si>
  <si>
    <t>STAcomex</t>
  </si>
  <si>
    <t>stacomex</t>
  </si>
  <si>
    <t>0661e5eb-13c2-4566-a4d1-dd1744f05dd0</t>
  </si>
  <si>
    <t>STAcomex specializes in international logistics, defense legal, strategic planning, and business incubator services.</t>
  </si>
  <si>
    <t>https://www.linkedin.com/company/grupo-stacomex</t>
  </si>
  <si>
    <t>https://www.stacomex.com</t>
  </si>
  <si>
    <t>contacto@stacomex.com</t>
  </si>
  <si>
    <t>+52 55 5574 9014</t>
  </si>
  <si>
    <t>Legal; Logistics; Shipping; Supply Chain Management</t>
  </si>
  <si>
    <t>Gustavo A. Madero</t>
  </si>
  <si>
    <t>Mexico</t>
  </si>
  <si>
    <t>LR-Associates</t>
  </si>
  <si>
    <t>lr-associates</t>
  </si>
  <si>
    <t>8e36c5d2-a1c5-4882-9b88-752d488d6ecf</t>
  </si>
  <si>
    <t>LR-Associates offers logistics and supply chain management services.</t>
  </si>
  <si>
    <t>https://www.linkedin.com/company/lr-associatesllc</t>
  </si>
  <si>
    <t>https://lrassociatesllc.com</t>
  </si>
  <si>
    <t>info@lrassociatesllc.com</t>
  </si>
  <si>
    <t>571-685-8003</t>
  </si>
  <si>
    <t>Facilities Support Services; Logistics; Supply Chain Management</t>
  </si>
  <si>
    <t>Herndon</t>
  </si>
  <si>
    <t>management; marketing; operations; product; sales</t>
  </si>
  <si>
    <t>Andrew J Consulting</t>
  </si>
  <si>
    <t>andrew-j-consulting</t>
  </si>
  <si>
    <t>fb3b9375-5789-4784-9c0f-b12675ed0e10</t>
  </si>
  <si>
    <t>Andrew J Consulting is an advisory that offers business development, trend forecasting, social media marketing, and supply chain management.</t>
  </si>
  <si>
    <t>https://www.andrew-j-consulting.com</t>
  </si>
  <si>
    <t>info@andrew-j-consulting.com</t>
  </si>
  <si>
    <t>+1 310-421-4327</t>
  </si>
  <si>
    <t>Brand Marketing; Business Development; Consulting; Marketing; Social Media Marketing; Supply Chain Management</t>
  </si>
  <si>
    <t>Los Angeles</t>
  </si>
  <si>
    <t>Vassar Digital</t>
  </si>
  <si>
    <t>vassar-digital</t>
  </si>
  <si>
    <t>2b99a695-d586-428c-aaaa-5615a5d7960b</t>
  </si>
  <si>
    <t>Vassar Digital offers generative AI and digital transformation solutions, integrating AI/ML and IoT technologies.</t>
  </si>
  <si>
    <t>Vassar Digital develops generative AI solutions for enterprise use cases. Its offerings include tools for customer engagement, employee productivity, and operational efficiency. The company provides AI-powered digital assistants for functions such as field technician support, customer service, and human resources. It also offers platforms for predictive maintenance, asset intelligence, and supply chain management. Vassar Digital supports projects with generative AI experts and delivers minimum viable products within defined development cycles.</t>
  </si>
  <si>
    <t>https://www.linkedin.com/company/vassardigital-ai</t>
  </si>
  <si>
    <t>https://vassardigital.ai</t>
  </si>
  <si>
    <t>info@vassardigital.ai</t>
  </si>
  <si>
    <t>+1 617 997 0888</t>
  </si>
  <si>
    <t>Chandrakiran Mallarapu; Nikhilesh Kumar; Prasad Putta</t>
  </si>
  <si>
    <t>Artificial Intelligence (AI); Consulting; Information Technology; Software</t>
  </si>
  <si>
    <t>Woburn</t>
  </si>
  <si>
    <t>human_resources</t>
  </si>
  <si>
    <t>Americas Gateway</t>
  </si>
  <si>
    <t>americas-gateway</t>
  </si>
  <si>
    <t>63432d3a-e4f2-422d-baab-e053a72f2d61</t>
  </si>
  <si>
    <t>Americas Gateway provides commercial real estate leasing and property management for office and warehouse spaces.</t>
  </si>
  <si>
    <t>https://www.linkedin.com/company/americas-gateway---search-&amp;-consulting</t>
  </si>
  <si>
    <t>https://www.agatewaysc.com</t>
  </si>
  <si>
    <t>+1 305 490 9806</t>
  </si>
  <si>
    <t>Property Management; Real Estate; Supply Chain Management</t>
  </si>
  <si>
    <t>Miami</t>
  </si>
  <si>
    <t>Tecnologia de Gestion y Comunicaci√≥n</t>
  </si>
  <si>
    <t>tecnologia-de-gestion-y-comunicaci√≥n</t>
  </si>
  <si>
    <t>849c5d0a-f133-4f2c-b1c5-864b1a5eabfd</t>
  </si>
  <si>
    <t>Tecnologia de Gestion y Comunicaci√≥n is an IT company that specializes in software development and consulting services.</t>
  </si>
  <si>
    <t>Tecnolog√≠a de Gesti√≥n y Comunicaci√≥n S.A. de C.V. (TGC), established in January 2002, is an Oracle Partner with extensive experience in applying information technologies within the public sector. Our strategic positioning, offering solutions based on Oracle products, underscores our commitment to providing integrated solutions that foster growth for our clients and partners. We provide consulting services for several Oracle products like Analytics Server, Oracle Database, Financial Management, Supply Chain Management, and Oracle Cloud Infrastructure. We a robust offering in the governmental market, with the highest number of Oracle application implementations in state and municipal governments, all executed by TGC personnel. Our consultants bring dual expertise as both consultants and public sector professionals, ensuring a deep understanding of the context in which information systems are utilized, thereby reducing implementation times.</t>
  </si>
  <si>
    <t>https://www.linkedin.com/company/tgc-global/</t>
  </si>
  <si>
    <t>https://tgc.mx</t>
  </si>
  <si>
    <t>soluciones@tgc.mx</t>
  </si>
  <si>
    <t>+52 614 424 5210</t>
  </si>
  <si>
    <t>Cloud Data Services; Information Technology; Software Engineering</t>
  </si>
  <si>
    <t>Chihuahua</t>
  </si>
  <si>
    <t>Aderet</t>
  </si>
  <si>
    <t>aderet</t>
  </si>
  <si>
    <t>b04b71d7-9260-47b3-9799-8ecd98e3b041</t>
  </si>
  <si>
    <t>Aderet LLC distributes Israeli goods globally, handling logistics, marketing, and sales.</t>
  </si>
  <si>
    <t>https://www.linkedin.com/company/aderet</t>
  </si>
  <si>
    <t>https://aderetgroup.com</t>
  </si>
  <si>
    <t>info@aderetgroup.com</t>
  </si>
  <si>
    <t>+1 516 340 3110</t>
  </si>
  <si>
    <t>Logistics; Retail; Supply Chain Management; Transportation</t>
  </si>
  <si>
    <t>New York</t>
  </si>
  <si>
    <t>Blue Freight Service</t>
  </si>
  <si>
    <t>blue-freight-service</t>
  </si>
  <si>
    <t>13286fcf-ef90-4e6e-8907-1b797e0b7c4f</t>
  </si>
  <si>
    <t>Blue Freight Service is a transportation company that provides ocean freight, logistics, supply chain management, and storage services.</t>
  </si>
  <si>
    <t>https://www.linkedin.com/company/blue-freight-service-gmbh/</t>
  </si>
  <si>
    <t>https://www.bluefreightservice.com</t>
  </si>
  <si>
    <t>info@bluefreightservice.com</t>
  </si>
  <si>
    <t>Berlin</t>
  </si>
  <si>
    <t>management; marketing</t>
  </si>
  <si>
    <t>Deutsches Verkehrsforum</t>
  </si>
  <si>
    <t>deutsches-verkehrsforum</t>
  </si>
  <si>
    <t>87454636-5bf6-4755-89fe-33607dd5e3bd</t>
  </si>
  <si>
    <t>Deutsches Verkehrsforum is a mobility association that focuses on traffic routes, costs, and safety for passenger and freight transport.</t>
  </si>
  <si>
    <t>https://www.linkedin.com/company/deutsches-verkehrsforum-e.-v./</t>
  </si>
  <si>
    <t>https://www.verkehrsforum.de/</t>
  </si>
  <si>
    <t>info@verkehrsforum.de</t>
  </si>
  <si>
    <t>+49 30 - 26 39 54-0</t>
  </si>
  <si>
    <t>Lebensmittelverband</t>
  </si>
  <si>
    <t>lebensmittelverband</t>
  </si>
  <si>
    <t>cccd468b-f3dd-4743-ae6b-451052ce342a</t>
  </si>
  <si>
    <t>Food Federation Germany represents the German food industry, advocating for members across the food supply chain.</t>
  </si>
  <si>
    <t>Food Federation Germany, also known as Lebensmittelverband Deutschland, serves as a comprehensive association for the German food industry. It represents a wide spectrum of members 'from the field to the plate,' encompassing the entire food production and supply chain. The organization focuses on advocacy, legal and technical exchange on issues affecting the food sector, including food supplements through its Food Supplements Working Group (AK NEM). It aims to ensure the interests of over five million people working across 619,000 companies in the food industry are represented, thereby supporting the provision of food to 85 million citizens in Germany and beyond.</t>
  </si>
  <si>
    <t>https://www.linkedin.com/company/lebensmittelverband</t>
  </si>
  <si>
    <t>https://www.lebensmittelverband.de</t>
  </si>
  <si>
    <t>+49 30 206143  0</t>
  </si>
  <si>
    <t>Association; Food and Beverage; Non Profit</t>
  </si>
  <si>
    <t>Erdbar</t>
  </si>
  <si>
    <t>erdbar</t>
  </si>
  <si>
    <t>35f8b82b-1b97-41fd-b9a3-6004466b64b5</t>
  </si>
  <si>
    <t>Erdbar is a food and manufacturing company that manufactures and distributes a range of organic snacks for children.</t>
  </si>
  <si>
    <t>https://www.linkedin.com/company/goodforgrowth-gmbh/</t>
  </si>
  <si>
    <t>https://erdbaer.de/</t>
  </si>
  <si>
    <t>info@erdbaer.de</t>
  </si>
  <si>
    <t>Food and Beverage; Manufacturing; Organic Food; Snack Food; Supply Chain Management</t>
  </si>
  <si>
    <t>Footprint.club</t>
  </si>
  <si>
    <t>footprint-club</t>
  </si>
  <si>
    <t>8d689027-ea8f-477a-b2dd-931a9e78a308</t>
  </si>
  <si>
    <t>Footprint.club is established to revolutionize the sustainable food and food logistics market and make it accessible to everyone.</t>
  </si>
  <si>
    <t>https://www.linkedin.com/company/footprint-club/</t>
  </si>
  <si>
    <t>https://footprint.club/</t>
  </si>
  <si>
    <t>contact@footprint.club</t>
  </si>
  <si>
    <t>EDI</t>
  </si>
  <si>
    <t>edi-einkaufsgemeinschaft-deutscher-impulshandel</t>
  </si>
  <si>
    <t>d8757bf1-6fc1-42b9-8d3a-d088f17833f3</t>
  </si>
  <si>
    <t>EDI is a trading company that specializes in the purchasing, import, distribution, and delivery of wholesale and bulk products.</t>
  </si>
  <si>
    <t>https://www.edi-ag.com/</t>
  </si>
  <si>
    <t>post@edi-ag.com</t>
  </si>
  <si>
    <t>+49  303-116-800</t>
  </si>
  <si>
    <t>Credit; Delivery; Supply Chain Management</t>
  </si>
  <si>
    <t>BESTgroup Consulting</t>
  </si>
  <si>
    <t>bestgroup-consulting</t>
  </si>
  <si>
    <t>0a9b9207-aa3e-47dd-a5d6-047522e2847f</t>
  </si>
  <si>
    <t>BESTgroup Consulting offers services in consultation and strategy development, supply chain management, logistics, and product development.</t>
  </si>
  <si>
    <t>http://www.b-e-s-t-group.com</t>
  </si>
  <si>
    <t>info@best-group.eu</t>
  </si>
  <si>
    <t>49-30804823000</t>
  </si>
  <si>
    <t>Consulting; Logistics; Supply Chain Management</t>
  </si>
  <si>
    <t>DMS Deutsche M√∂belspedition</t>
  </si>
  <si>
    <t>dms-deutsche-m√∂belspedition</t>
  </si>
  <si>
    <t>6716a705-ba99-492e-b66a-3c4d11ca0215</t>
  </si>
  <si>
    <t>DMS Deutsche M√∂belspedition is a relocation and logistics service company, it transports large and sensitive goods.</t>
  </si>
  <si>
    <t>https://www.linkedin.com/company/dms-deutsche-m√∂belspedition</t>
  </si>
  <si>
    <t>https://www.dms-logistik.de</t>
  </si>
  <si>
    <t>info@dms-logistik.de</t>
  </si>
  <si>
    <t>+49 0 30 677 98 68 0</t>
  </si>
  <si>
    <t>PROLIFIC Project</t>
  </si>
  <si>
    <t>prolific-project</t>
  </si>
  <si>
    <t>30ad61a6-7c2b-41dc-9de3-9fbf955856e7</t>
  </si>
  <si>
    <t>PROLIFIC Project focuses on extracting proteins and bioactives from agro-industrial residues for sustainability.</t>
  </si>
  <si>
    <t>PROLIFIC Project is a European research initiative that focuses on converting food processing by-products into valuable bio-based compounds. The project develops sustainable biorefinery processes to extract proteins, polyphenols, and dietary fibers from agricultural residues such as legumes, fungi, and coffee by-products. These compounds are then integrated into new applications across the food, packaging, and cosmetic industries. PROLIFIC Project involves a consortium of academic institutions, research organizations, and industry partners collaborating to reduce food waste and promote circular economy practices. The initiative also evaluates the environmental and economic viability of the processes developed, aiming to establish replicable models for biowaste valorization. Through pilot-scale testing and stakeholder engagement, the project assesses regulatory, consumer acceptance, and supply chain considerations for the proposed solutions.</t>
  </si>
  <si>
    <t>https://www.linkedin.com/showcase/prolific-project</t>
  </si>
  <si>
    <t>https://prolific-project.eu</t>
  </si>
  <si>
    <t>Agriculture; Alternative Protein; Biotechnology</t>
  </si>
  <si>
    <t>Pickstar Transport &amp; Logistik</t>
  </si>
  <si>
    <t>pickstar-transport-logistik</t>
  </si>
  <si>
    <t>852b75e2-8512-42f9-989e-13346629a426</t>
  </si>
  <si>
    <t>Pickstar Transport &amp; Logistik is experts in local last mile services for a better customer experience when it comes to doorstep delivery.</t>
  </si>
  <si>
    <t>https://www.linkedin.com/company/pickstar-transport-&amp;-logistik-gmbh/</t>
  </si>
  <si>
    <t>https://www.pickstar.de</t>
  </si>
  <si>
    <t>Versand@pickstar.de</t>
  </si>
  <si>
    <t>49. (0) 30. 65018733</t>
  </si>
  <si>
    <t>Delivery Service; Logistics; Supply Chain Management; Transportation</t>
  </si>
  <si>
    <t>Sqetch</t>
  </si>
  <si>
    <t>sqetch</t>
  </si>
  <si>
    <t>2cd3d619-1a3d-b221-671f-715540617200</t>
  </si>
  <si>
    <t>Sqetch - Simply Sourcing Apparel. An online platform for fashion brands to find a suitable supplier or manufacturer.</t>
  </si>
  <si>
    <t>Sqetch is an online platform for fashion brands to find a suitable supplier or manufacturer.  Finding the right supplier is complicated. Sqetch makes it easy. We connect fashion brands to manufacturers and suppliers with our B2B sourcing network and matchmaking platform to support your business along the entire supply chain.  Exciting news: Beginning 2020 Sourcebook and Sqetch have joined forces for a bigger, better sourcing platform.  In addition to digital matchmaking Sqetch Agency curates and organises a range of innovation platforms including hackathons, exhibitions, conferences and think tanks, to catalyse the digital and sustainable transformation of the fashion and textiles industry.  Consulting and Events Services for the Fashion and Textiles Industry: ‚Ä¢ Free online networking and sourcing platform ‚Ä¢ Customised Partnership packages ‚Ä¢ B2B events management: Trade fair exhibitions, Conferences, Hackathons, Workshops ‚Ä¢ Industry insights: Sustainability, Transparency, Technology, Innovation</t>
  </si>
  <si>
    <t>https://www.linkedin.com/company/sqetch/</t>
  </si>
  <si>
    <t>https://sqetch.co</t>
  </si>
  <si>
    <t>marte@sqetch.co</t>
  </si>
  <si>
    <t>Marte Hentschel; Olof Werngren; Wiebe Poelmann; Wouter de Roy van Zuidewijn</t>
  </si>
  <si>
    <t>Apparel; B2B; Consumer Goods; Fashion; Manufacturing; Marketing; Retail Technology; Textiles; Trade Shows; Trading Platform</t>
  </si>
  <si>
    <t>Schulranzen-Berlin.de</t>
  </si>
  <si>
    <t>schulranzen-berlin-de</t>
  </si>
  <si>
    <t>d014fbe8-28d4-40e0-96cb-2f80be503013</t>
  </si>
  <si>
    <t>Schulranzen-Berlin.de is an online school supply store.</t>
  </si>
  <si>
    <t>https://www.schulranzen-berlin.de/</t>
  </si>
  <si>
    <t>ranzen-berlin@web.de</t>
  </si>
  <si>
    <t>49-30-79 78 37 22</t>
  </si>
  <si>
    <t>Consumer; E-Commerce; Supply Chain Management</t>
  </si>
  <si>
    <t>HM Express</t>
  </si>
  <si>
    <t>hm-express</t>
  </si>
  <si>
    <t>acf564cb-e0aa-4649-b2ff-f7834f439164</t>
  </si>
  <si>
    <t>HM Express is a logistics firm that specializes in transportation, supply chain management, and forwarding services.</t>
  </si>
  <si>
    <t>https://www.linkedin.com/company/hm-express-gmbh/</t>
  </si>
  <si>
    <t>https://hm-express.de/</t>
  </si>
  <si>
    <t>info@hm-express.de</t>
  </si>
  <si>
    <t>+49 178 832 78 20</t>
  </si>
  <si>
    <t>SEMICON Europa</t>
  </si>
  <si>
    <t>semicon-europa</t>
  </si>
  <si>
    <t>b5eccb17-1a5b-45f3-83b4-602c5a8b2eb7</t>
  </si>
  <si>
    <t>SEMICON Europa is the industry association.</t>
  </si>
  <si>
    <t>SEMICON Europa event covers the display of new products and technologies for microelectronics design and manufacturing, and features technologies from across the microelectronics supply chain, from electronic design automation to device fabrication (wafer processing) to final manufacturing (assembly, packaging, and test).</t>
  </si>
  <si>
    <t>https://www.linkedin.com/showcase/semi-europe/</t>
  </si>
  <si>
    <t>https://semiconeuropa.org</t>
  </si>
  <si>
    <t>semiconeuropa@semi.org</t>
  </si>
  <si>
    <t>+49 3030 308 0770</t>
  </si>
  <si>
    <t>Association; Events; Manufacturing</t>
  </si>
  <si>
    <t>Plischka Logistics</t>
  </si>
  <si>
    <t>plischka-logistics</t>
  </si>
  <si>
    <t>d58a8c01-ceee-47e1-9c50-0f719931a175</t>
  </si>
  <si>
    <t>Plischka Logistics is a transportation company that provides supply chain management, warehousing, and disposal services.</t>
  </si>
  <si>
    <t>https://www.linkedin.com/company/plischka-moebeltransporte</t>
  </si>
  <si>
    <t>https://plischkalogistik.de</t>
  </si>
  <si>
    <t>info@plischka.de</t>
  </si>
  <si>
    <t>+49 30 761 961 66</t>
  </si>
  <si>
    <t>Putzparts</t>
  </si>
  <si>
    <t>viapex-corp</t>
  </si>
  <si>
    <t>b8dfa564-78d8-4732-9731-9aecb75bcfa3</t>
  </si>
  <si>
    <t>Putzparts offers mixing and pumping equipment, including rotor stators and mortar hoses, with international shipping.</t>
  </si>
  <si>
    <t>Viapex Corp. is associated with Putzparts, specializing in providing mixing and pumping equipment. The company offers products such as rotor stators, mortar hoses, and spare parts for brands like Putzmeister and M-Tec. Viapex Corp. is involved in the supply chain of construction machinery, focusing on equipment that enhances the efficiency of construction processes. The company ensures international shipping, catering to a global clientele. Viapex Corp. is part of a network that includes various manufacturers and suppliers, contributing to the construction industry's machinery needs.</t>
  </si>
  <si>
    <t>http://www.linkedin.com/company/putzparts</t>
  </si>
  <si>
    <t>https://www.putzparts24.com</t>
  </si>
  <si>
    <t>info@putzparts24.de</t>
  </si>
  <si>
    <t>+49 30 548 70420</t>
  </si>
  <si>
    <t>Industrial; Manufacturing; Wholesale</t>
  </si>
  <si>
    <t>WKI Unternehmensgruppe</t>
  </si>
  <si>
    <t>wki-unternehmensgruppe</t>
  </si>
  <si>
    <t>952cb370-2548-4ca7-a0c3-28ef39f85b18</t>
  </si>
  <si>
    <t>1885-01-01</t>
  </si>
  <si>
    <t>WKI Unternehmensgruppe is a trading company for plastic granules and spinning machines for the agricultural sector.</t>
  </si>
  <si>
    <t>https://www.linkedin.com/company/wki-kunststoffe-gmbh</t>
  </si>
  <si>
    <t>https://www.wki.de</t>
  </si>
  <si>
    <t>info@wki.de</t>
  </si>
  <si>
    <t>Chemical; Plastics and Rubber Manufacturing; Supply Chain Management</t>
  </si>
  <si>
    <t>Britze</t>
  </si>
  <si>
    <t>britze</t>
  </si>
  <si>
    <t>0b8caf21-4b0f-4c82-be5d-1eec2f00305e</t>
  </si>
  <si>
    <t>Britze is a contract manufacturer that specializes in PCB assembly, development and design, construction, and supply chain management.</t>
  </si>
  <si>
    <t>https://www.linkedin.com/company/britze-electronic-gmbh/</t>
  </si>
  <si>
    <t>https://www.britze-elektronik.de/</t>
  </si>
  <si>
    <t>info@britze-elektronik.de</t>
  </si>
  <si>
    <t>+49 30 70 17 386 0</t>
  </si>
  <si>
    <t>Electronics; Industrial Engineering; Manufacturing; Supply Chain Management</t>
  </si>
  <si>
    <t>ACYC</t>
  </si>
  <si>
    <t>acyc</t>
  </si>
  <si>
    <t>844ab223-727f-4861-a288-962e7807c9fc</t>
  </si>
  <si>
    <t>ACYC develops blockchain tools that record and visualize lifecycle data for physical assets and secondary market trades.</t>
  </si>
  <si>
    <t>ACYC provides blockchain-based software that tracks the full lifecycle of physical goods, from initial sale through the secondary market. The platform records ownership changes, repairs, modifications, and usage history in a tamper-resistant ledger. ACYC offers a mobile-friendly interface where users can scan or look up an item to review detailed provenance, service events, and condition notes. The system supports brands, resellers, and marketplaces that want transparent asset histories for warranty handling, resale value assessment, and fraud reduction. ACYC focuses on connecting real-world products with digital records, helping stakeholders analyze long-term performance, sustainability metrics, and consumer behavior around pre-owned goods.</t>
  </si>
  <si>
    <t>https://www.linkedin.com/company/acyc-io</t>
  </si>
  <si>
    <t>https://acyc.io</t>
  </si>
  <si>
    <t>hello@acyc.io</t>
  </si>
  <si>
    <t>Asset Management; Blockchain; Marketplace; Software; Supply Chain Management</t>
  </si>
  <si>
    <t>Gbav</t>
  </si>
  <si>
    <t>gbav</t>
  </si>
  <si>
    <t>e6a7fc6a-ab95-45dd-84b6-1974a239ba5d</t>
  </si>
  <si>
    <t>Gbav Inc. offers software solutions, engineering services, and logistics insights, specializing in various industries.</t>
  </si>
  <si>
    <t>Gbav Inc. specializes in software solutions tailored to meet the needs of various industries. With a focus on hydrographic surveying, coastal and dredging engineering, construction management, and geotechnical investigations, the company leverages its expertise to deliver comprehensive services. Additionally, Gbav Inc. is involved in high volume claims and transaction processing, showcasing its versatility in handling complex data management tasks. The company's commitment to quality is evident in its approach to providing flare equipment with superior design, materials, and construction. Gbav Inc. also offers architectural, engineering, and construction (AEC) solutions, transforming visions into reality. With a team of 13 employees based in Santa Monica, CA, the company is dedicated to offering specialized services that support the management of buildings and facilities, as well as providing insightful logistics solutions for global businesses with supply chain requirements.</t>
  </si>
  <si>
    <t>https://www.gbav.de</t>
  </si>
  <si>
    <t>info@gbav.de</t>
  </si>
  <si>
    <t>+49 30 3000 7730</t>
  </si>
  <si>
    <t>Environmental Consulting; Logistics; Software</t>
  </si>
  <si>
    <t>Acut Fulfillment</t>
  </si>
  <si>
    <t>acut-fulfillment</t>
  </si>
  <si>
    <t>82c9547f-3317-4b68-8db8-30297fd7ef30</t>
  </si>
  <si>
    <t>Acut Fulfillment provides e-commerce logistics, warehousing, picking, packing, and shipping services for online retailers and brands.</t>
  </si>
  <si>
    <t>Acut Fulfillment GmbH provides logistics and fulfillment services for e-commerce companies and brands. The company offers storage of goods, inventory management, and order picking and packing. It handles parcel shipping, returns processing, and value-added services such as labeling or kitting. Acut Fulfillment GmbH supports startups and established online shops that outsource warehouse and shipping operations. Its services are tailored to digital commerce workflows and carrier integrations. The company also processes returns for third-party online merchants that use its warehouse address for customer shipments.</t>
  </si>
  <si>
    <t>https://www.linkedin.com/company/acut-logistics-gmbh/</t>
  </si>
  <si>
    <t>https://acut-fulfillment.de</t>
  </si>
  <si>
    <t>info@acut-fulfillment.de</t>
  </si>
  <si>
    <t>+49 30 6178940</t>
  </si>
  <si>
    <t>Delivery; E-Commerce; Logistics; Small and Medium Businesses; Software; Supply Chain Management; Transportation; Warehousing</t>
  </si>
  <si>
    <t>africrops!</t>
  </si>
  <si>
    <t>africrops</t>
  </si>
  <si>
    <t>1c64ca65-a5c1-4db8-b1b6-146e5f06e788</t>
  </si>
  <si>
    <t>africrops! GmbH develops organic agriculture projects and supplies African plant products such as baobab and hibiscus to cosmetics markets.</t>
  </si>
  <si>
    <t>africrops! GmbH connects agricultural development projects with trade in African plant products. The company advises donors and private-sector clients on organic farming, vocational training, supply-chain development, quality management and entrepreneurship in multiple African countries. It supports partners in achieving organic certification, setting up farms and processing moringa, baobab and other crops, and implementing tracking systems for raw materials. africrops! also markets African plant ingredients in bulk to business customers and to consumers under the brand The Essence of Africa for food and cosmetics applications.</t>
  </si>
  <si>
    <t>https://www.linkedin.com/company/africrops</t>
  </si>
  <si>
    <t>https://www.africrops.com</t>
  </si>
  <si>
    <t>info@africrops.de</t>
  </si>
  <si>
    <t>+49 30 55 24 01 62</t>
  </si>
  <si>
    <t>Agriculture; Consulting; Food and Beverage; Herbs and Spices; Organic</t>
  </si>
  <si>
    <t>Greenvironment Deutschland Z. d. Greenvironment plc</t>
  </si>
  <si>
    <t>greenvironment</t>
  </si>
  <si>
    <t>193b1a8d-d959-d420-9592-52b4a5a1083d</t>
  </si>
  <si>
    <t>Greenvironment is a European technology supplier and system integrator of power stations for decentralised power generation.</t>
  </si>
  <si>
    <t>Greenvironment is a European technology supplier and system integrator of power stations for decentralised power generation. The listed company (Ticker: GIV1; WKN: A1JLT1) with headquarters in Berlin was founded in 2002 in Finland and is now also represented in Germany, the Czech Republic, Poland and Romania. Greenvironment develops, builds and operates natural gas or biogas-fired combined heat and power plants within the output segment of 50 kilowatt to 4 megawatt.</t>
  </si>
  <si>
    <t>https://www.linkedin.com/company/greenvironment-plc</t>
  </si>
  <si>
    <t>http://greenvironment.com</t>
  </si>
  <si>
    <t>info@greenvironment.com</t>
  </si>
  <si>
    <t>49 30 3116712 30</t>
  </si>
  <si>
    <t>Electronics; Energy; Information Technology; Oil and Gas; Supply Chain Management</t>
  </si>
  <si>
    <t>logivalue</t>
  </si>
  <si>
    <t>a54c76b3-c515-43e9-8dd2-0bf30b2c785c</t>
  </si>
  <si>
    <t>Logistics, Consulting, Real Estate, Supply Chain Management, Warehouse Automation</t>
  </si>
  <si>
    <t>Logivalue GmbH is a Berlin-based logistics consulting firm co-founded by Raimund Paetzmann and Carl-Friedrich zu Knyphausen. Together they bring more than 50 years of hands-on experience building and operating logistics infrastructure at Amazon, Zalando, DHL, and arvato. Logivalue advises e-commerce companies, multichannel retailers, 3PLs, and logistics real estate investors on four service lines: strategic supply chain network design, logistics real estate and building development, warehouse automation assessment, and end-to-end project implementation. The firm has delivered more than 40 fulfilment centres across Europe covering 800,000+ square metres of warehouse floor space, with over EUR 1 billion in warehouse automation CAPEX managed. Clients include operators across fashion, grocery, CEP, and marketplace verticals, as well as institutional real estate investors and private equity funds active in the logistics property sector. In addition to consulting, Logivalue operates a dedicated investment intelligence platform at investment-intelligence.logivalue.com for logistics real estate professionals.</t>
  </si>
  <si>
    <t>https://www.linkedin.com/company/103550653/</t>
  </si>
  <si>
    <t>https://logivalue.com</t>
  </si>
  <si>
    <t>Consulting; Real Estate Investment; Warehouse Automation</t>
  </si>
  <si>
    <t>Bockses</t>
  </si>
  <si>
    <t>bockses</t>
  </si>
  <si>
    <t>3fed1786-a8e9-4c61-89cb-b3ee1a6aa81a</t>
  </si>
  <si>
    <t>Bockses GmbH provides IoT-enabled smart load carriers with tracking, smart locking, and blockchain-based logistics features.</t>
  </si>
  <si>
    <t>Bockses GmbH develops IoT-enabled smart load carriers for international logistics and freight operations. The solution combines GPS and Bluetooth tracking, NFC and TSA-compatible locking, and rights management for secure cargo access. It supports blockchain-based smart contracts for location and event triggered transactions and payments. The system offers sensor-based goods analytics, customs compatible fraud detection, and predictive supply chain routing. It uses smart relabeling and digital signage for cross network compatibility and continuous cloud-based load tracking.</t>
  </si>
  <si>
    <t>https://www.linkedin.com/company/bockses</t>
  </si>
  <si>
    <t>https://www.bockses.io</t>
  </si>
  <si>
    <t>b2b@bockses.io</t>
  </si>
  <si>
    <t>Blockchain; Internet of Things; Logistics; Predictive Analytics; Security; Sensor; Smart Contracts; Supply Chain Management; Transportation</t>
  </si>
  <si>
    <t>Berlin Institute Supply Chain Management</t>
  </si>
  <si>
    <t>berlin-institute-supply-chain-management</t>
  </si>
  <si>
    <t>dc4b3fba-b8ea-45e6-8d38-2439787fcc2e</t>
  </si>
  <si>
    <t>Berlin Institute Supply Chain Management GmbH designs B2B conferences, corporate events, and consulting services on supply chain.</t>
  </si>
  <si>
    <t>Berlin Institute Supply Chain Management GmbH organizes curated B2B conferences and summits for executives across supply chain, energy, rail, agritech and sustainability domains. The company develops in-house supplier and customer events such as Supplier Days and Innovation Days for industrial clients, covering concept, agenda, speakers, logistics and on-site delivery. It publishes executive-focused books, interviews and industry reports that highlight procurement and sustainability leaders. Berlin Institute Supply Chain Management GmbH also provides consulting services in business strategy, business development, supply chain management, site selection, sustainability, quality management and ESG for corporate customers.</t>
  </si>
  <si>
    <t>https://www.linkedin.com/company/berlin-institute-supply-chain-management-gmbh</t>
  </si>
  <si>
    <t>https://berlininstitute-scm.com</t>
  </si>
  <si>
    <t>office@berlininstitute-scm.com</t>
  </si>
  <si>
    <t>+49 30 213 006 050</t>
  </si>
  <si>
    <t>B2B; Consulting; Event Management; Publishing; Supply Chain Management</t>
  </si>
  <si>
    <t>Action, Collaboration, Transformation</t>
  </si>
  <si>
    <t>action-collaboration-transformation</t>
  </si>
  <si>
    <t>a83c1775-b651-4c0a-a982-9a85a80a5072</t>
  </si>
  <si>
    <t>ACT convenes brands, retailers and unions to improve purchasing practices and support living wages in garment, and footwear supply chains.</t>
  </si>
  <si>
    <t>ACT convenes global brands, retailers and IndustriALL Global Union to support living wages in garment, textile and footwear supply chains. The organisation develops and implements supply chain industrial relations frameworks focused on responsible purchasing practices, collective bargaining and freedom of association. It coordinates binding brand support agreements, purchasing practices surveys and country frameworks in priority sourcing countries. ACT also pilots complaints and grievance mechanisms for manufacturers and employers‚Äô associations to address disputes related to brand purchasing commitments.</t>
  </si>
  <si>
    <t>https://www.linkedin.com/company/actioncollaborationtransformation/</t>
  </si>
  <si>
    <t>https://actonlivingwages.com</t>
  </si>
  <si>
    <t>act@actonlivingwages.com</t>
  </si>
  <si>
    <t>+49 307262171021</t>
  </si>
  <si>
    <t>Non Profit; Supply Chain Management; Sustainability</t>
  </si>
  <si>
    <t>COOLSHIP</t>
  </si>
  <si>
    <t>coolship</t>
  </si>
  <si>
    <t>0207b878-fca3-b621-5c21-5c9fc1543e09</t>
  </si>
  <si>
    <t>COOLSHIP is the new shipping container for shipping of refrigerated, frozen and fresh food.</t>
  </si>
  <si>
    <t>https://www.linkedin.com/company/coolship/</t>
  </si>
  <si>
    <t>http://www.coolship.de/</t>
  </si>
  <si>
    <t>office@coolship.de</t>
  </si>
  <si>
    <t>Logistics; Shipping; Supply Chain Management</t>
  </si>
  <si>
    <t>GeneralMind</t>
  </si>
  <si>
    <t>generalmind</t>
  </si>
  <si>
    <t>0707157d-b4d6-4d6e-8752-86ceebe95003</t>
  </si>
  <si>
    <t>GeneralMind is an AI company that reduces repetitive supply-chain operations by automating manual steps in email and excel.</t>
  </si>
  <si>
    <t>GeneralMind is an AI company that reduces repetitive supply-chain operations by automating manual steps in email, excel, and ERP systems with a human-powered autopilot.</t>
  </si>
  <si>
    <t>https://www.linkedin.com/company/generalmind</t>
  </si>
  <si>
    <t>https://www.generalmind.com</t>
  </si>
  <si>
    <t>Lennart Hardenberg; Nishrit Shrivastva; Oliver Dlugosch; Sergiu »òoima; Shrestha Chowdhury; Tushar Ahluwalia</t>
  </si>
  <si>
    <t>Artificial Intelligence (AI); Software</t>
  </si>
  <si>
    <t>carbmee</t>
  </si>
  <si>
    <t>af887a03-fbac-41a5-82d9-7dd242b901df</t>
  </si>
  <si>
    <t>The carbon management solution for complex supply chains.</t>
  </si>
  <si>
    <t>Carbmee is an Enterprise Software Company on a mission to empower businesses to get carbon reduction under management through the use of automation technology. Through our patented Environmental Intelligence System, carbmee EIS‚Ñ¢, we allow companies to reduce their carbon footprint by analyzing CO2 hotspots throughout the value chain.</t>
  </si>
  <si>
    <t>https://www.linkedin.com/company/carbmee/</t>
  </si>
  <si>
    <t>https://www.carbmee.com</t>
  </si>
  <si>
    <t>info@carbmee.com</t>
  </si>
  <si>
    <t>Christian Heinrich; Hendrik Beneke; Robin Spickers</t>
  </si>
  <si>
    <t>Enterprise Applications; Industrial Manufacturing; Software; Supply Chain Management; Sustainability</t>
  </si>
  <si>
    <t>management; marketing; sales</t>
  </si>
  <si>
    <t>Root Global</t>
  </si>
  <si>
    <t>root-global</t>
  </si>
  <si>
    <t>50298b5c-3f07-42f7-9eb3-78c3f489d33f</t>
  </si>
  <si>
    <t>Root Global develops carbon accounting and emissions management platforms to help companies manage and reduce their environmental footprint.</t>
  </si>
  <si>
    <t>Root Global develops a carbon accounting and emissions management platform to help companies manage and reduce their environmental footprint by providing verified data collection and quantifiable reduction levers. With supply chain partners and set supplier targets and incentives, the platform helps food and beverage companies identify emission hotspots and improve sustainability efforts.</t>
  </si>
  <si>
    <t>https://www.linkedin.com/company/rootglobal0/</t>
  </si>
  <si>
    <t>https://www.rootglobal.io/</t>
  </si>
  <si>
    <t>Eric Oancea; Maurice Hensl</t>
  </si>
  <si>
    <t>B2B; Food and Beverage; SaaS; Sustainability</t>
  </si>
  <si>
    <t>engineering; management; product</t>
  </si>
  <si>
    <t>Logistica OS</t>
  </si>
  <si>
    <t>logistica-os</t>
  </si>
  <si>
    <t>a39d2d71-fd97-4697-babc-8cc5ee6e43bb</t>
  </si>
  <si>
    <t>Logistica OS is developing AI agents for supply chain operations that combine deep logistics expertise with advanced AI technology.</t>
  </si>
  <si>
    <t>Founded in 2025 by Flavio Alario, Kenan Deniz, and Florian Lehmann, Logistica OS combines deep logistics expertise with advanced AI technology. Alario brings experience from DHL and other logistics firms, while Deniz and Lehmann contribute extensive backgrounds in process automation and product development. Logistica OS is developing AI agents for supply chain operations that combine deep logistics expertise with advanced AI technology.</t>
  </si>
  <si>
    <t>https://www.linkedin.com/company/logistica-os/</t>
  </si>
  <si>
    <t>https://www.logistica-os.com/</t>
  </si>
  <si>
    <t>Artificial Intelligence (AI); Logistics; Transportation</t>
  </si>
  <si>
    <t>Workist</t>
  </si>
  <si>
    <t>workist</t>
  </si>
  <si>
    <t>2096dc5a-89af-4a22-bbf7-538b069acb4a</t>
  </si>
  <si>
    <t>Workist is a business process automation based on RPA robots called AI Workers that learn through human-AI teamwork.</t>
  </si>
  <si>
    <t>Workist is a business process automation based on RPA robots called AI Workers that learn through human-AI teamwork. Its B2B transactions are translated, allowing for seamless integration and automated data exchange between business customers, distributors, and suppliers. Using AI, they hope to free up people's time to do more creative and meaningful work. Workist automates the processing of incoming purchase orders so that no one has to manually type in documents again. Workist was founded in 2019 and is headquartered in Berlin, Germany.</t>
  </si>
  <si>
    <t>https://www.linkedin.com/company/workist-com/</t>
  </si>
  <si>
    <t>https://workist.com</t>
  </si>
  <si>
    <t>Alexander M√ºller; Fabian Brosig; Tim Wegner</t>
  </si>
  <si>
    <t>Artificial Intelligence (AI); Business Process Automation (BPA); Document Preparation; Enterprise Resource Planning (ERP); Enterprise Software; Supply Chain Management</t>
  </si>
  <si>
    <t>engineering; finance; human_resources; information_technology; management; marketing; operations; product; sales</t>
  </si>
  <si>
    <t>Packmatic</t>
  </si>
  <si>
    <t>packmatic</t>
  </si>
  <si>
    <t>3976e597-2325-42ee-bb3c-c817e3d788b9</t>
  </si>
  <si>
    <t>Packmatic is a digital product packaging platform that sources packing solutions.</t>
  </si>
  <si>
    <t>Packmatic connects brands with packaging suppliers. Their services include packaging requests, onboarding, kick off calls with packaging engineers, sign off on the final product, and supplier matching. Contact Packmatic at info@packmatic.io.</t>
  </si>
  <si>
    <t>https://www.linkedin.com/company/packmatic/?originalSubdomain=de</t>
  </si>
  <si>
    <t>https://www.packmatic.io/</t>
  </si>
  <si>
    <t>info@packmatic.com</t>
  </si>
  <si>
    <t>030 16639607</t>
  </si>
  <si>
    <t>Jonas Boland; Matthias Geiss; Paul Schraven; Tobias Linnardi</t>
  </si>
  <si>
    <t>Digital Media; Packaging Services; Supply Chain Management</t>
  </si>
  <si>
    <t>engineering; information_technology; management; marketing; operations; sales</t>
  </si>
  <si>
    <t>3YOURMIND</t>
  </si>
  <si>
    <t>3yourmind-gmbh</t>
  </si>
  <si>
    <t>68497002-ca54-45fd-3940-fffd02a8cb4b</t>
  </si>
  <si>
    <t>Automation software to manage additive manufacturing part selection, ordering and production workflows for Industry 4.0.</t>
  </si>
  <si>
    <t>3YOURMIND offers Enterprise Software to automate additive manufacturing processes and workflows for leading companies and 3D print services. Their product suite standardizes every aspect of the AM supply chain from analyzing historical part data to efficient order management to optimal production scheduling. The software is laying the foundation for Agile Manufacturing. With digital workflows, our software standardizes and evaluates AM data, automates the business processes associated with distributed manufacturing and optimizes production execution and quality assurance. These are the tools that enable data-driven production decisions and are building a foundation for automated Agile Manufacturing. The Agile PLM manages AM product innovation processes to build a digital inventory full of AM-ready parts and production data. Our Agile ERP bring speed, accuracy and automation to how additive manufacturing orders and tracking are processed in your organization. Intelligent software like our Agile MES is needed to increase transparency and speed up the information flow for the additive manufacturing production floor. Our team of experts for AM Services guides and supports our customers at every step of the AM workflow, from idea generation to CAD modeling to the execution of their additive manufacturing project. Customers who have already successfully integrated 3YOURMIND products into AM production include GKN, DB Schenker, Postnord, EOS, and other undisclosed enterprise companies.</t>
  </si>
  <si>
    <t>https://www.linkedin.com/company/3yourmind</t>
  </si>
  <si>
    <t>http://www.3yourmind.com</t>
  </si>
  <si>
    <t>info@3yourmind.com</t>
  </si>
  <si>
    <t>Aleksander Ciszek; Stephan Kuehr</t>
  </si>
  <si>
    <t>3D Printing; 3D Technology; Enterprise Software; Industrial Manufacturing; Manufacturing; Software</t>
  </si>
  <si>
    <t>engineering; finance; information_technology; management; operations; product</t>
  </si>
  <si>
    <t>CargoMotion</t>
  </si>
  <si>
    <t>instafreight</t>
  </si>
  <si>
    <t>1bdb99fd-1b24-5e6b-b77f-4cafa367c2f2</t>
  </si>
  <si>
    <t>CargoMotion is a platform that helps logistics companies manage road freight operations, connect shippers and carriers, and automate tasks.</t>
  </si>
  <si>
    <t>InstaFreight is a digital forwarding company for B2B customers, that enables fast and uncomplicated processing of freight transports. Their goal is to become Europe's leading B2B online freight forwarding company. They stand for reliability, quality, efficiency and transparency. By offering innovative solutions and providing first-class service, they reduce the complexity of the supply chain and ensure absolute transparency for their customers and carriers.</t>
  </si>
  <si>
    <t xml:space="preserve">https://www.linkedin.com/company/cargomotion/ </t>
  </si>
  <si>
    <t>https://www.cargomotion.io/</t>
  </si>
  <si>
    <t>info@cargomotion.io</t>
  </si>
  <si>
    <t>+49 (0) 30 166 38 75 00</t>
  </si>
  <si>
    <t>Markus Doetsch; Maximilian Schaefer; Philipp Ortwein</t>
  </si>
  <si>
    <t>B2B; Freight Service; Logistics; Transportation</t>
  </si>
  <si>
    <t>human_resources; operations</t>
  </si>
  <si>
    <t>CleanHub</t>
  </si>
  <si>
    <t>cleanhub</t>
  </si>
  <si>
    <t>52cf73ef-b05d-4c2b-8c22-283078a1d8a9</t>
  </si>
  <si>
    <t>CleanHub empowers brands to minimize their plastic footprints</t>
  </si>
  <si>
    <t>CleanHub facilitates the collection and safe processing of ocean-bound plastic, in high leakage locations, before it can cause damage.</t>
  </si>
  <si>
    <t>https://www.linkedin.com/company/cleanhub</t>
  </si>
  <si>
    <t>https://www.cleanhub.com</t>
  </si>
  <si>
    <t>Bosse Rothe Frossard; Joel Tasche</t>
  </si>
  <si>
    <t>Fast-Moving Consumer Goods; Green Consumer Goods; Internet; Supply Chain Management</t>
  </si>
  <si>
    <t>information_technology; management; marketing; operations; pro_services; product; sales</t>
  </si>
  <si>
    <t>Tilla Technologies</t>
  </si>
  <si>
    <t>tilla-technologies</t>
  </si>
  <si>
    <t>156dc02f-de17-4092-a1ee-bc271688ba70</t>
  </si>
  <si>
    <t>Tilla is a highly collaborative platform that streamlines and optimizes the manual and inefficient process of cargo ship crew logistics.</t>
  </si>
  <si>
    <t>Tilla is transforming the highly manual, inefficient process of managing crew changes on cargo ships into a highly collaborative and transparent platform. The industry has built 3 travel-tech ventures at the Lufthansa innovation hub.</t>
  </si>
  <si>
    <t>https://www.linkedin.com/company/tillasystems/</t>
  </si>
  <si>
    <t>https://tilla.tech</t>
  </si>
  <si>
    <t>hr@tilla.tech</t>
  </si>
  <si>
    <t>engineering; management; product; support</t>
  </si>
  <si>
    <t>Sensefinity</t>
  </si>
  <si>
    <t>sensefinity</t>
  </si>
  <si>
    <t>fdea818a-ef11-ec64-a82a-bd9bc4d2411c</t>
  </si>
  <si>
    <t>Sensefinity is provides supply-chains using AI and Blockchain.</t>
  </si>
  <si>
    <t>Sensefinity is providing visibility of the world's supply-chains using AI and Blockchain to reduce costs with Demurrage and Detention and reducing risk via real-time condition monitoring and AI to predict events.</t>
  </si>
  <si>
    <t>https://www.linkedin.com/company/sensefinity</t>
  </si>
  <si>
    <t>https://www.sensefinity.com</t>
  </si>
  <si>
    <t>info@sensefinity.com</t>
  </si>
  <si>
    <t>Marco Marques; Orlando Rem√©dios</t>
  </si>
  <si>
    <t>Analytics; Artificial Intelligence (AI); Blockchain; Delivery; Internet of Things; Logistics; Machine Learning; Supply Chain Management</t>
  </si>
  <si>
    <t>Warehousing1</t>
  </si>
  <si>
    <t>warehousing1</t>
  </si>
  <si>
    <t>c69a91cb-e002-47b4-a576-7f717a593829</t>
  </si>
  <si>
    <t>Warehousing1 offers a digital platform for accessing warehousing and distribution network and needs.</t>
  </si>
  <si>
    <t>Warehousing1 is building the number one warehousing and distribution network in Europe. Companies can utilize the innovative platform to find ideal warehousing solutions anywhere, manage them digitally and optimize processes by gaining real-time visibility and data transparency.</t>
  </si>
  <si>
    <t>https://www.linkedin.com/company/warehousing1</t>
  </si>
  <si>
    <t>https://warehousing1.com</t>
  </si>
  <si>
    <t>nils.aschmann@warehousing1.com</t>
  </si>
  <si>
    <t>Fabian Sedlmayr; Nico Szeli; Nils Aschmann</t>
  </si>
  <si>
    <t>finance; human_resources; management; marketing; operations; sales</t>
  </si>
  <si>
    <t>Minespider</t>
  </si>
  <si>
    <t>minespider</t>
  </si>
  <si>
    <t>4a0f6122-ee48-b48d-40d2-18569782c1cb</t>
  </si>
  <si>
    <t>Sustainable supply chains for the EV future.</t>
  </si>
  <si>
    <t>Minespider is a sustainable supply chain solution for the future of EVs. We enable improved battery production/recycling, decarbonization efforts, regulatory compliance, and critical mineral sourcing with blockchain-based Battery Passports.   Companies such as Google, Cisco, Ford Otosan, Volkswagen, Stannol, Renault, LuNa Smelter, Rayrock and Minsur use Minespider's technology to drive the shift towards a sustainable electromobility future.</t>
  </si>
  <si>
    <t>https://www.linkedin.com/company/minespider/</t>
  </si>
  <si>
    <t>http://www.minespider.com</t>
  </si>
  <si>
    <t>hello@minespider.com</t>
  </si>
  <si>
    <t>Ella Cullen; Klederson Bueno; Martin Hobler; Nathan Williams; Volker Kr√ºmpel</t>
  </si>
  <si>
    <t>Battery; Blockchain; Electric Vehicle; Mineral; Mining; Mining Technology</t>
  </si>
  <si>
    <t>finance; information_technology; management; marketing; operations; product</t>
  </si>
  <si>
    <t>ctrl+s</t>
  </si>
  <si>
    <t>ctrl-s-0c5a</t>
  </si>
  <si>
    <t>96c61c1c-e33e-4e28-8b7f-520e85360c5a</t>
  </si>
  <si>
    <t>ctrl+s is a technology firm that provides supply chain data to promote decarbonization and foster sustainable practices.</t>
  </si>
  <si>
    <t>Ctrl+s is a business that focuses in offering high-resolution supply chain data to encourage decarbonization and sustainable practices.</t>
  </si>
  <si>
    <t>https://www.linkedin.com/company/c-t-r-l-s/</t>
  </si>
  <si>
    <t>https://ctrl-s.io/</t>
  </si>
  <si>
    <t>info@ctrl-s.io</t>
  </si>
  <si>
    <t>+49 30 2060 8611</t>
  </si>
  <si>
    <t>Johannes Scholz</t>
  </si>
  <si>
    <t>management; pro_services; product; sales</t>
  </si>
  <si>
    <t>seedtrace</t>
  </si>
  <si>
    <t>09af945e-0056-48bd-8be5-bca10aafd4ae</t>
  </si>
  <si>
    <t>SaaS startup that develops a digital platform to manage, prove and communicate sustainability and supply chain information.</t>
  </si>
  <si>
    <t>seedtrace is a SaaS startup from Berlin that develops a digital platform for businesses to manage, prove and communicate the social and ecological impact of their products. The startup focuses on bringing transparency into complex supply chains by fostering the cooperation between actors along the chain, building an ecosystem of organizations that confirm their claims and tracing products from seed to shelf.</t>
  </si>
  <si>
    <t>https://www.linkedin.com/company/seedtrace</t>
  </si>
  <si>
    <t>http://www.seedtrace.org</t>
  </si>
  <si>
    <t>contact@seedtrace.org</t>
  </si>
  <si>
    <t>Ana Selina Haberbosch; Florian Fischer; Jonathan Mandt; Katharina Elisa Davids</t>
  </si>
  <si>
    <t>SaaS</t>
  </si>
  <si>
    <t>Opto</t>
  </si>
  <si>
    <t>opto-056f</t>
  </si>
  <si>
    <t>a610ad26-7b3b-4d43-83d3-42f4297f056f</t>
  </si>
  <si>
    <t>Opto is a fintech company focused on supply chain finance and logistics technology.</t>
  </si>
  <si>
    <t>Opto is a banking infrastructure that provides payments, credit cards and invoice financing to SMEs, with a particular focus on logistics</t>
  </si>
  <si>
    <t>https://www.linkedin.com/company/getopto</t>
  </si>
  <si>
    <t>https://getopto.com</t>
  </si>
  <si>
    <t>Lama Yammine; Sebastian Nerz</t>
  </si>
  <si>
    <t>Finance; FinTech; Logistics; Payments</t>
  </si>
  <si>
    <t>German Cannabis Standard</t>
  </si>
  <si>
    <t>german-cannabis-standard</t>
  </si>
  <si>
    <t>13ddca1d-d74a-44c7-adcb-7a8de74904eb</t>
  </si>
  <si>
    <t>German Cannabis Standard developes a fully integrated technology and production ecosystem" for cannabis.</t>
  </si>
  <si>
    <t>German Cannabis Standard is developing a fully integrated technology and production ecosystem for the cannabis industry, combining advanced cultivation methods, processing technologies, and compliance-driven supply chain solutions to ensure consistent quality, scalability, and regulatory alignment across the entire value chain.</t>
  </si>
  <si>
    <t>https://www.linkedin.com/company/gcs-german-cannabis-standard/</t>
  </si>
  <si>
    <t>https://germancannabisstandard.com/index.html</t>
  </si>
  <si>
    <t>info@germancannabisstandard.de</t>
  </si>
  <si>
    <t>Dogan K√ºncekli; Nicholas Katsaras</t>
  </si>
  <si>
    <t>Pharmaceutical</t>
  </si>
  <si>
    <t>Agranimo</t>
  </si>
  <si>
    <t>agranimo</t>
  </si>
  <si>
    <t>129179f8-e1fd-4e00-9205-f75411a81cb7</t>
  </si>
  <si>
    <t>Agranimo helps improve profitability and eradicate food waste in the fresh produce supply chain.</t>
  </si>
  <si>
    <t>Agranimo helps improve profitability and eradicate food waste in the fresh produce supply chain. The company's real-time analysis of soil and climate conditions allows farming organizations to cut costs, increase yields, and streamline processes. Agranimo was founded in 2015 and has offices in Santiago, Chile, and Berlin, Germany.</t>
  </si>
  <si>
    <t>https://www.linkedin.com/company/agranimo/</t>
  </si>
  <si>
    <t>https://www.agranimo.com/</t>
  </si>
  <si>
    <t>contact@agranimo.com</t>
  </si>
  <si>
    <t>Nikita Gulin; Sergio Esteban Cardenas Espinoza</t>
  </si>
  <si>
    <t>Agriculture; Internet; Software</t>
  </si>
  <si>
    <t>Rouvia</t>
  </si>
  <si>
    <t>rouvia</t>
  </si>
  <si>
    <t>21ff7dcb-8a79-452b-952d-6a17588b095a</t>
  </si>
  <si>
    <t>Rouvia is a logistics company engaged in sustainable freight transportation and supply management.</t>
  </si>
  <si>
    <t>Rouvia is a logistics company providing a transport planning and management platform designed to automate logistics processes. Rouvia combines road, rail, and shipping networks to eliminate planning silos, create end-to-end transparency, and unlock economic and environmental opportunities. It creates unmatched visibility and efficiency through advanced technology.</t>
  </si>
  <si>
    <t>https://www.linkedin.com/company/rouvia/</t>
  </si>
  <si>
    <t>https://rouvia.com/</t>
  </si>
  <si>
    <t>contact@rouvia.com</t>
  </si>
  <si>
    <t>+49 176-7278-3068</t>
  </si>
  <si>
    <t>Fliit</t>
  </si>
  <si>
    <t>fliit</t>
  </si>
  <si>
    <t>6f02b46f-dabf-f6b0-a027-dae20a9b9361</t>
  </si>
  <si>
    <t>Fliit is a logistics platform that focuses on supplying fresh food.</t>
  </si>
  <si>
    <t>Their goal is to finally enable worry-free food logistics for both food companies and carriers. They are making food logistics efficient and transparent. They build a platform that simply and digitally brings together food companies with a network of specialized carriers. They provide central technological applications for management and control. They help their partners to spare precious time and nerves during planning. They enable food companies to easily get goods from A to B whenever they need. They support carriers to fulfill their full potential and let them work together in a network so they can compete with the large industry players. Their combination of logistics and tech expertise together with their innovative and young startup spirit will make the food industry free of worries and more profitable for everyone. Their goal is to finally enable worry-free food logistics for both food companies and carriers. They are making food logistics efficient and transparent. They build a platform that simply and digitally brings together food companies with a network of specialized carriers. They provide central technological applications for management and control. They help their partners to spare precious time and nerves during planning. They enable food companies to easily get goods from A to B whenever they need. They support carriers to fulfill their full potential and let them work together in a network so they can compete with the large industry players. Their combination of logistics and tech expertise together with their innovative and young startup spirit will make the food industry free of worries and more profitable for everyone.</t>
  </si>
  <si>
    <t>https://www.linkedin.com/company/fliit-gmbh/</t>
  </si>
  <si>
    <t>http://www.fliit.de/</t>
  </si>
  <si>
    <t>info@fliit.de</t>
  </si>
  <si>
    <t>+49 305 6839559</t>
  </si>
  <si>
    <t>Flavio Alario</t>
  </si>
  <si>
    <t>Delivery; Logistics; Supply Chain Management</t>
  </si>
  <si>
    <t>Fabrikat√∂r - Virtual Head of Operations</t>
  </si>
  <si>
    <t>fabrikat√∂r</t>
  </si>
  <si>
    <t>ce1afea5-a642-49c1-9f6a-cec0a5663bc4</t>
  </si>
  <si>
    <t>Equipping growing DTC brands with the modern retail and supply chain technology.</t>
  </si>
  <si>
    <t>Fabrikat√∂r is a manufacturing platform that plays well with other SME softwares.  Small and middle-size business owners struggle with keeping their focus on manufacturing while they deal with operational tasks. Fabrikat√∂r takes out the operational noise and gives the manufacturing management tools they need.</t>
  </si>
  <si>
    <t>https://www.linkedin.com/company/fabrikator/</t>
  </si>
  <si>
    <t>https://fabrikator.io</t>
  </si>
  <si>
    <t>contact@fabrikator.io</t>
  </si>
  <si>
    <t>Bahadƒ±r Efeoƒülu; Demirhan Aydin</t>
  </si>
  <si>
    <t>B2B; E-Commerce; Innovation Management; Manufacturing; Small and Medium Businesses; Software; Supply Chain Management</t>
  </si>
  <si>
    <t>Freshflow</t>
  </si>
  <si>
    <t>freshflow</t>
  </si>
  <si>
    <t>2f9cf62c-a681-428e-b8cb-b4687b7fc3c8</t>
  </si>
  <si>
    <t>Freshflow is harnessing AI to build the food supply chain technology of the future and tackle global food waste.</t>
  </si>
  <si>
    <t>https://www.linkedin.com/company/freshflow/</t>
  </si>
  <si>
    <t>https://freshflow.ai</t>
  </si>
  <si>
    <t>hello@freshflow.ai</t>
  </si>
  <si>
    <t>+49 15888 492521</t>
  </si>
  <si>
    <t>Avik Mukhija; Carmine Paolino</t>
  </si>
  <si>
    <t>Artificial Intelligence (AI); Food Delivery; Machinery Manufacturing; Supply Chain Management</t>
  </si>
  <si>
    <t>engineering; management; marketing; operations</t>
  </si>
  <si>
    <t>ClimateChoice</t>
  </si>
  <si>
    <t>the-climate-choice</t>
  </si>
  <si>
    <t>66ead65a-8c0c-4586-a61a-e285b074386a</t>
  </si>
  <si>
    <t>ClimateChoice provides the AI-first Climate Intelligence Platform to accelerate Scope 3 decarbonization.</t>
  </si>
  <si>
    <t>ClimateChoice provides the AI-powered Climate Intelligence Platform designed for procurement- and climate teams to accelerate Scope 3 decarbonization. Companies use it to automate time-consuming and costly supplier engagement processes and collect audit-ready data at scale. Trusted by leaders like T-Systems, Lenovo, o2 Telef√≥nica, and EnBW. In order to accelerate knowledge sharing, we support businesses to exchange best practices across a number of touchpoints, including an annual conference, a blended-learning program, regular webinars and an online magazine.</t>
  </si>
  <si>
    <t>https://www.linkedin.com/company/the-climate-choice</t>
  </si>
  <si>
    <t>http://theclimatechoice.com/</t>
  </si>
  <si>
    <t>kontakt@theclimatechoice.com</t>
  </si>
  <si>
    <t>Dr. Reyhood Farhan; Lara Obst; Yasha Tarani</t>
  </si>
  <si>
    <t>B2B; Enterprise Software; Internet; Software; Supply Chain Management</t>
  </si>
  <si>
    <t>engineering; information_technology; management; operations</t>
  </si>
  <si>
    <t>Move24</t>
  </si>
  <si>
    <t>movago</t>
  </si>
  <si>
    <t>19d4de74-fa03-bffa-debf-0d2a5c280403</t>
  </si>
  <si>
    <t>Move24 is a tech driven professional moving platform that provides moving and relocation services.</t>
  </si>
  <si>
    <t>Move24 provides moving and relocation services across Europe, including loading and unloading, storage, and handyman and cleaning services. With the new funding, the startup says it seeks become the ‚Äúprovider of relocation services of all kinds‚Äù. The company also wants to offer more services connected with relocation, such as electricity contracts.</t>
  </si>
  <si>
    <t>https://www.linkedin.com/company/move24-group-gmbh</t>
  </si>
  <si>
    <t>http://www.move24.com/</t>
  </si>
  <si>
    <t>info@move24.com</t>
  </si>
  <si>
    <t>Ante Krsnanac; Anton Rummel; Carsten Bild; Marcel Rangnow; Maximilian Lanig; Philipp Andernach</t>
  </si>
  <si>
    <t>BigchainDB</t>
  </si>
  <si>
    <t>bigchaindb</t>
  </si>
  <si>
    <t>af28fb5a-99e2-6952-7881-34f88fac2471</t>
  </si>
  <si>
    <t>BigchainDB is a blockchain database offering decentralization, immutability and native assets.</t>
  </si>
  <si>
    <t>BigchainDB is a blockchain database offering decentralization, immutability and native assets. BigchainDB allows for the deployment of large-scale applications in a variety of use cases and industries from intellectual property and identity to supply chain, IoT and artificial intelligence. BigchainDB provides unique solutions for developers, start-ups and enterprises to successfully build their concepts, platforms and applications as big as they can dream.</t>
  </si>
  <si>
    <t>https://www.linkedin.com/company/bigchaindb/</t>
  </si>
  <si>
    <t>https://www.bigchaindb.com</t>
  </si>
  <si>
    <t>contact@bigchaindb.com</t>
  </si>
  <si>
    <t>Bruce Pon; Masha McConaghy; Trent McConaghy</t>
  </si>
  <si>
    <t>Big Data; Bitcoin; Blockchain; Database; Internet; Open Source</t>
  </si>
  <si>
    <t>Fairsenden</t>
  </si>
  <si>
    <t>fairsenden</t>
  </si>
  <si>
    <t>48423603-dedc-42e0-b378-a8b0432b4317</t>
  </si>
  <si>
    <t>Fairsenden engages in the logistics, supply chain, and green delivery industry.</t>
  </si>
  <si>
    <t>Fairsenden is the deep tech company for emission-free and fast city logistics.‚Äã We want to make a difference - fair to the environment, colleagues, and customers. We are rethinking logistics, avoiding traffic jams, and improving the environment.  We deliver parcels CO2-neutral on the last mile with our e-bikes and e-vans at individual appointments at the customers' desired date and time.</t>
  </si>
  <si>
    <t>https://www.linkedin.com/company/fairsenden/</t>
  </si>
  <si>
    <t>https://fairsenden.digital/</t>
  </si>
  <si>
    <t>kundenservice@fairsenden.com</t>
  </si>
  <si>
    <t>Markus Schwarz</t>
  </si>
  <si>
    <t>Delivery; Logistics; Supply Chain Management; Warehousing</t>
  </si>
  <si>
    <t>VAI Trade</t>
  </si>
  <si>
    <t>vai-trade-gmbh</t>
  </si>
  <si>
    <t>f8bedfd2-2520-4b9f-94fa-8063d0d4225f</t>
  </si>
  <si>
    <t>VAI is a digital supply chain financing solution company in Europe for SMEs.</t>
  </si>
  <si>
    <t>VAI is a digital supply chain financing solution company in Europe for SMEs. They provide SMEs with purchase financing within 24 hours. They pay your supplier immediately. You benefit from flexible repayment plans. Preserve liquidity. Invest in your growth.</t>
  </si>
  <si>
    <t>https://www.linkedin.com/company/vaitrade/</t>
  </si>
  <si>
    <t>http://www.vaitrade.de</t>
  </si>
  <si>
    <t>info@vaitrade.de</t>
  </si>
  <si>
    <t>030 9599984 20</t>
  </si>
  <si>
    <t>Garry Krugljakow</t>
  </si>
  <si>
    <t>Financial Services; FinTech</t>
  </si>
  <si>
    <t>Bluu Seafood</t>
  </si>
  <si>
    <t>bluu-bioscience</t>
  </si>
  <si>
    <t>bfdf73ab-79fc-48d8-b214-b49600ebd492</t>
  </si>
  <si>
    <t>Bluu Seafood Provides Sea Food Manufacturing Services.</t>
  </si>
  <si>
    <t>Bluu Seafood they provide services for food products in seafood made from fish cells, healthier, and more sustainably</t>
  </si>
  <si>
    <t>https://www.linkedin.com/company/bluu-bio/about/</t>
  </si>
  <si>
    <t>https://bluu.bio/</t>
  </si>
  <si>
    <t>contact@bluu.bio</t>
  </si>
  <si>
    <t>Dr. Sebastian Rakers; Simon Fabich</t>
  </si>
  <si>
    <t>Food and Beverage; Food Processing; Manufacturing; Service Industry; Supply Chain Management</t>
  </si>
  <si>
    <t>engineering; finance; human_resources; management; marketing; medical_science; operations</t>
  </si>
  <si>
    <t>Simplaex</t>
  </si>
  <si>
    <t>simplaex</t>
  </si>
  <si>
    <t>b2234a9b-bbaa-5ded-7ca4-8ac643652b23</t>
  </si>
  <si>
    <t>Simplaex is the company behind the world‚Äôs most advanced artificial intelligence-powered user targeting technology.</t>
  </si>
  <si>
    <t>Simplaex is the company behind the world‚Äôs most advanced artificial intelligence-powered user targeting technology. As ads move through the programmatic supply chain, Simplaex aligns the ROI interests of the demand and supply side by creating a unified insight in understanding and evaluating consumer behavior. In 2019 Simplaex sold our Engage (Retargeting platform which include DSP, CDP, etc...) product to one of the leading digital marketing agencies to focus on what we see as the future of the company: RIVR</t>
  </si>
  <si>
    <t>https://www.linkedin.com/company/simplaex/</t>
  </si>
  <si>
    <t>http://www.simplaex.com/</t>
  </si>
  <si>
    <t>info@simplaex.com</t>
  </si>
  <si>
    <t>+49 30 922512772</t>
  </si>
  <si>
    <t>Jeffry van Ede; Moti Tal</t>
  </si>
  <si>
    <t>Ad Targeting; Advertising; Artificial Intelligence (AI); Big Data; Brand Marketing; Data Visualization; Digital Marketing; Marketing</t>
  </si>
  <si>
    <t>engineering; marketing</t>
  </si>
  <si>
    <t>KREATIZE</t>
  </si>
  <si>
    <t>kratize-gmbh</t>
  </si>
  <si>
    <t>b08c2ed6-8acb-4eaf-4ec5-9702866634dc</t>
  </si>
  <si>
    <t>KREATIZE helps manufacturing companies with smart purchasing solutions.</t>
  </si>
  <si>
    <t>KREATIZE helps manufacturing companies with smart purchasing solutions. They believe in the future of the manufacturing industry in Germany and Europe, and want to help businesses in this market achieve more success and agility. KREATIZE digitalizes the way custom parts are ordered and manufactured. Companies receive a complete offer for their request within 120 minutes. With their smart solutions they are proud supporters of the digital and agile world of manufacturing, and plan to support as many businesses as possible.</t>
  </si>
  <si>
    <t>https://www.linkedin.com/company/kreatize-gmbh/</t>
  </si>
  <si>
    <t>https://kreatize.com/</t>
  </si>
  <si>
    <t>+49 (0) 7071 14310 70</t>
  </si>
  <si>
    <t>Daniel A. Garcia Rodriguez; Simon Tuchelmann</t>
  </si>
  <si>
    <t>Information Services; Information Technology; Manufacturing; Supply Chain Management</t>
  </si>
  <si>
    <t>TMA. The Hazardous Goods Companion</t>
  </si>
  <si>
    <t>tma-the-hazardous-goods-companion</t>
  </si>
  <si>
    <t>291cbe71-891e-4422-8f95-e0dbe0e3e7a2</t>
  </si>
  <si>
    <t>Sustainable Supply Chain for the Gas and Chemical Industry</t>
  </si>
  <si>
    <t>TMA is the hazardous good companion, helping gas and chemical companies build more resilient and sustainable supply chain.  By combining Atex-compliant IOT with software and machine learning, we help improve the circulation, distribution and rotation of hazardous inventory in the gas, electricity and industrial sectors.</t>
  </si>
  <si>
    <t>https://www.linkedin.com/company/tma-hazardous-goods-companion</t>
  </si>
  <si>
    <t>https://tmaiot.com/</t>
  </si>
  <si>
    <t>info@tmaiot.com</t>
  </si>
  <si>
    <t>Margaux Pag√®s</t>
  </si>
  <si>
    <t>Artificial Intelligence (AI); Energy; Industrial; Internet of Things; Oil and Gas; Supply Chain Management</t>
  </si>
  <si>
    <t>engineering; human_resources; information_technology; legal; operations</t>
  </si>
  <si>
    <t>Holocene</t>
  </si>
  <si>
    <t>holocene-7110</t>
  </si>
  <si>
    <t>3741267e-f7df-47aa-9e89-d959a2627110</t>
  </si>
  <si>
    <t>Holocene provides supply chain operations and logistics solutions services.</t>
  </si>
  <si>
    <t>https://www.linkedin.com/company/holocene1</t>
  </si>
  <si>
    <t>https://www.holocene.eu</t>
  </si>
  <si>
    <t>info@holocene.eu</t>
  </si>
  <si>
    <t>Navneet Lekshminarayanan; Romain Fayolle</t>
  </si>
  <si>
    <t>management; medical_science; operations; sales</t>
  </si>
  <si>
    <t>COOKO</t>
  </si>
  <si>
    <t>cooko-2dd5</t>
  </si>
  <si>
    <t>e3a1548d-8da5-48db-9c5a-0b1be4ab2dd5</t>
  </si>
  <si>
    <t>Disruptive new cacao supply chain player. Providing first mile traceability, living wage for farmers and improved cacao.</t>
  </si>
  <si>
    <t>‚ÄúCooko‚Äù means ‚ÄúSource‚Äù or ‚ÄúWellspring‚Äù in the proto-Bantu language of West Africa. This reflects the spirit of the company. We aim to go to the source, to work from the ground up to improve the livelihood of Cacao farmers. Our key innovation changes the way that cacao is sourced. Not only does it provide a better quality bean, we also provide first-mile traceability. This has been identified as the key factor in transforming the industry into a more sustainable and equitable economic force. The farmer benefits: In one day they can make the money that would have required 10 days labour. The industry benefits: International traders are increasingly frustrated with low-grade cacao, contaminated with everything from stones to unfermented beans. By changing the first step in the process we lock the beans into a controlled refinement process. The consumer benefits: When you see the source-fermented‚Ñ¢ label, you will know that your cacao (or chocolate) has been equitably sourced.</t>
  </si>
  <si>
    <t>https://linkedin.com/company/cooko-co</t>
  </si>
  <si>
    <t>https://cooko.co</t>
  </si>
  <si>
    <t>ferdi@cooko.co</t>
  </si>
  <si>
    <t>Ferdi van Heerden</t>
  </si>
  <si>
    <t>Agriculture; AgTech; Farming</t>
  </si>
  <si>
    <t>engineering; finance; management; operations; product</t>
  </si>
  <si>
    <t>Mello</t>
  </si>
  <si>
    <t>mello-2034</t>
  </si>
  <si>
    <t>03705c6d-6aa6-4227-a786-26ee285c2034</t>
  </si>
  <si>
    <t>Mello is a logistics company offering freight solutions, including efficient transportation, supply chain management, and delivery services.</t>
  </si>
  <si>
    <t>Mello is building the AI-powered financial layer for logistics, helping businesses digitize, analyze, and automate cost management at scale.</t>
  </si>
  <si>
    <t>https://www.linkedin.com/company/mello-hq/?viewAsMember=true</t>
  </si>
  <si>
    <t>https://mellohq.com/</t>
  </si>
  <si>
    <t>hello@mello.com</t>
  </si>
  <si>
    <t>Artificial Intelligence (AI); Logistics; Software</t>
  </si>
  <si>
    <t>Sustify</t>
  </si>
  <si>
    <t>sustify</t>
  </si>
  <si>
    <t>ac337782-e83d-45a3-9e0a-2398ee54f344</t>
  </si>
  <si>
    <t>Sustify is a quantifiable and flexible digital training solution for improving observance in factories.</t>
  </si>
  <si>
    <t>Sustify believe in a bottom-up approach to ensure legal compliance outside audits. They want workers to understand social and environmental protection, they enable learning and prepare the ground for change. They developed a digital solution because they want to reach many workers with individualized content. They focus on the areas of training and education, sustainable supply chain, capacity building, social and environmental standards, etc.</t>
  </si>
  <si>
    <t>https://www.linkedin.com/company/sustify/</t>
  </si>
  <si>
    <t>https://www.sustify.de/</t>
  </si>
  <si>
    <t>+49 170 3601180</t>
  </si>
  <si>
    <t>Education; E-Learning; Training</t>
  </si>
  <si>
    <t>Log-hub</t>
  </si>
  <si>
    <t>log-hub</t>
  </si>
  <si>
    <t>ecaf9742-ee49-44d5-bae1-57dec3e3a85e</t>
  </si>
  <si>
    <t>Log-hub builds data-driven supply chain solutions based on leading-edge technologies to turn data into valuable information.</t>
  </si>
  <si>
    <t>https://www.linkedin.com/company/log-hub-ag</t>
  </si>
  <si>
    <t>https://log-hub.com</t>
  </si>
  <si>
    <t>+41 43 810 2179</t>
  </si>
  <si>
    <t>Logistics; Software; Transportation</t>
  </si>
  <si>
    <t>human_resources; information_technology; management; marketing; pro_services; sales</t>
  </si>
  <si>
    <t>Elucid Social</t>
  </si>
  <si>
    <t>elucid-social</t>
  </si>
  <si>
    <t>a4c554cf-64cd-43c3-ba33-98e1c98601bc</t>
  </si>
  <si>
    <t>Elucid Social integrates businesses with the social good movement through a data-driven strategy that yields measurable results.</t>
  </si>
  <si>
    <t>Elucid Social integrates businesses with the social good movement through a data-driven strategy that yields measurable results. Elucid Social develops and deploys technologies to assess, report, and minimize human rights risks linked with the sourcing of products and services.</t>
  </si>
  <si>
    <t>https://www.linkedin.com/company/elucid-social</t>
  </si>
  <si>
    <t>https://www.elucid.social</t>
  </si>
  <si>
    <t>Health Care; Information Technology; Online Portals; Risk Management; Supply Chain Management</t>
  </si>
  <si>
    <t>information_technology; management; operations; product</t>
  </si>
  <si>
    <t>Evertrace</t>
  </si>
  <si>
    <t>evertrace</t>
  </si>
  <si>
    <t>fd893498-21b4-4d34-9855-9fd4a44a219f</t>
  </si>
  <si>
    <t>Evertrace merges the internet of things and machine learning and provides solutions for damage-free global supply chains and logistics.</t>
  </si>
  <si>
    <t>https://www.linkedin.com/company/evertrace/</t>
  </si>
  <si>
    <t>https://www.evertrace.io</t>
  </si>
  <si>
    <t>info@evertrace.io</t>
  </si>
  <si>
    <t>+49 30 83 217 217</t>
  </si>
  <si>
    <t>Artificial Intelligence (AI); Internet of Things; Logistics; Machine Learning; Supply Chain Management</t>
  </si>
  <si>
    <t>Cito</t>
  </si>
  <si>
    <t>cito-d26b</t>
  </si>
  <si>
    <t>a5a65601-8808-479b-9f8d-e799ee5dd26b</t>
  </si>
  <si>
    <t>Cito is a provider of digital transport solutions for courier services, time-critical deliveries, and the direct transport of goods.</t>
  </si>
  <si>
    <t>https://www.linkedin.com/company/cito-kurierservice</t>
  </si>
  <si>
    <t>https://www.cito.ai</t>
  </si>
  <si>
    <t>kontakt@cito.ai</t>
  </si>
  <si>
    <t>0800 693 6933</t>
  </si>
  <si>
    <t>Gregor Stock; Sajeel Shiromani</t>
  </si>
  <si>
    <t>Courier Service; Logistics; Software; Supply Chain Management</t>
  </si>
  <si>
    <t>human_resources; legal; management; marketing; operations; sales</t>
  </si>
  <si>
    <t>OSYPKA MEDICAL</t>
  </si>
  <si>
    <t>osypka-medical</t>
  </si>
  <si>
    <t>992e0902-10f5-4252-b5e3-8c1996b2845d</t>
  </si>
  <si>
    <t>OSYPKA MEDICAL is a manufacturing company that provides electrical cardiometry, and temporary cardiac pacing medical devices.</t>
  </si>
  <si>
    <t>https://www.linkedin.com/company/osypka-medical</t>
  </si>
  <si>
    <t>https://www.osypkamed.com</t>
  </si>
  <si>
    <t>mail@osypkamed.com</t>
  </si>
  <si>
    <t>49 30 6392 8300</t>
  </si>
  <si>
    <t>Peter Osypka</t>
  </si>
  <si>
    <t>Health Care; Manufacturing; Medical Device; Supply Chain Management</t>
  </si>
  <si>
    <t>engineering; legal; management; operations; sales</t>
  </si>
  <si>
    <t>byways</t>
  </si>
  <si>
    <t>fe973494-9755-4f2a-9592-9dbfa3d8a195</t>
  </si>
  <si>
    <t>byways is a digital dock and yard management system for logistics and supply chain management.</t>
  </si>
  <si>
    <t>byways manages the supply chain and logistics around the locations of pickup and drop-off. All of the pick-up and drop-off locations are linked to all of the carriers, suppliers, and freight forwarders by them. They offer a supplier platform solution, a smart dashboard, a digital planning tool, and a communication platform with smart notifications.</t>
  </si>
  <si>
    <t>https://www.linkedin.com/company/byways-logistics</t>
  </si>
  <si>
    <t>https://www.byways.io/</t>
  </si>
  <si>
    <t>Alexander Palffy; Simon Jordan</t>
  </si>
  <si>
    <t>Data Visualization; Enterprise Software; Supply Chain Management</t>
  </si>
  <si>
    <t>Liquisto</t>
  </si>
  <si>
    <t>liquisto</t>
  </si>
  <si>
    <t>22f85793-b4de-44e4-9805-401c8607080a</t>
  </si>
  <si>
    <t>Transforming excess inventory into liquidity for industrial manufacturers.</t>
  </si>
  <si>
    <t>We envision a future free from manufacturing waste. Join us in making this a reality.  Billions in value go to waste each year as excess inventory gets scrapped across the global industrial manufacturing sector. We believe better alternatives can be created.  This is why we are on a mission to pioneer the transformation of excess inventory management in manufacturing. Through a suite of tech-enabled solutions, we sustainably transform excess industrial inventory into liquidity for manufacturers and new utility for purchasers. Our intelligent matching of excess inventory with untapped demand provides a profitable alternative to scrapping for manufacturers while enabling easy access and affordable prices for purchasers. If you'd like to hear more about how we accomplish our mission, please reach out to us via info@liquisto.com. If you'd like to join the Liquisto family, please reach out to talent@liquisto.com.</t>
  </si>
  <si>
    <t>https://www.linkedin.com/company/liquisto/</t>
  </si>
  <si>
    <t>https://liquisto.com</t>
  </si>
  <si>
    <t>info@liquisto.com</t>
  </si>
  <si>
    <t>Aernout Verhallen; Humphrey J.N. Yeboah</t>
  </si>
  <si>
    <t>E-Commerce; Information Technology; Manufacturing; Software; Supply Chain Management</t>
  </si>
  <si>
    <t>engineering; management</t>
  </si>
  <si>
    <t>Brandhouse Berlin</t>
  </si>
  <si>
    <t>brandhouse-berlin</t>
  </si>
  <si>
    <t>b9b0aff3-fd2e-47ce-86bc-3710dd98482f</t>
  </si>
  <si>
    <t>Brandhouse Berlin provides expertise in DTC &amp; B2B marketing Supplychain (European &amp; Sustainable) Operations.</t>
  </si>
  <si>
    <t>https://www.linkedin.com/company/brandhouse-berlin/</t>
  </si>
  <si>
    <t>https://www.brandhouse.berlin/</t>
  </si>
  <si>
    <t>uli@brandhouse.berlin</t>
  </si>
  <si>
    <t>B2C; Supply Chain Management</t>
  </si>
  <si>
    <t>Satori</t>
  </si>
  <si>
    <t>satori-6e60</t>
  </si>
  <si>
    <t>771ee83f-020e-47f7-95bb-7c538aac6e60</t>
  </si>
  <si>
    <t>Satori is the world's first B2B e-commerce marketplace for traceable (textile) materials.</t>
  </si>
  <si>
    <t>Satori digitises ‚Ç¨500B of textile material transactions, making the trading process as easy as buying clothes online. Each material comes with a digital passport to provide unprecedented data-driven traceability.</t>
  </si>
  <si>
    <t>https://www.linkedin.com/company/satori-berlin</t>
  </si>
  <si>
    <t>https://satori.earth</t>
  </si>
  <si>
    <t>tan@satori.earth</t>
  </si>
  <si>
    <t>Joseph Finlayson; Tan Nguyen</t>
  </si>
  <si>
    <t>Apparel; B2B; Fashion; Marketplace; Supply Chain Management; Textiles; Wholesale</t>
  </si>
  <si>
    <t>REVAULT</t>
  </si>
  <si>
    <t>revault-bbdf</t>
  </si>
  <si>
    <t>5727956c-81b7-4fd9-894a-a1fae9d0bbdf</t>
  </si>
  <si>
    <t>Fighting unplanned downtime! Automated Issue and Task Management for In-Field Operations: Empowering the Deskless Workforce with Revault!</t>
  </si>
  <si>
    <t>https://www.linkedin.com/company/revaultapp</t>
  </si>
  <si>
    <t>https://revaultapp.co</t>
  </si>
  <si>
    <t>Bryan Yen; Sobhan Suma</t>
  </si>
  <si>
    <t>Data Mining; Enterprise Software; Machine Learning; SaaS; Supply Chain Management</t>
  </si>
  <si>
    <t>Shipwise</t>
  </si>
  <si>
    <t>shipwise</t>
  </si>
  <si>
    <t>20e4f844-422d-c733-246d-8d75265cf45b</t>
  </si>
  <si>
    <t>Shipwise takes the pain out of booking freight shipments and makes it as easy as booking a trip.</t>
  </si>
  <si>
    <t>Shipwise takes the pain out of booking freight shipments and makes it as easy as booking a trip. Shipwise streamlines the process and eliminates the numerous emails and phone calls, automating the reservations process by providing direct access to capacity and transparent billing.</t>
  </si>
  <si>
    <t>https://www.linkedin.com/company/shipwise</t>
  </si>
  <si>
    <t>http://shipwise.co/</t>
  </si>
  <si>
    <t>hello@shipwise.co</t>
  </si>
  <si>
    <t>Alexander Malov; Igor Alipenko</t>
  </si>
  <si>
    <t>Logistics; Software; Supply Chain Management; Transportation</t>
  </si>
  <si>
    <t>Lockbox</t>
  </si>
  <si>
    <t>lockbox-2</t>
  </si>
  <si>
    <t>dc9e63bd-c068-a6a9-bf2d-edd47c6048da</t>
  </si>
  <si>
    <t>The temporary packing station for your apartment door.</t>
  </si>
  <si>
    <t>Lockbox is a delivery service that allows shippers to deliver its clients‚Äô shopping to them, without them having to be at home to receive it. With its home delivery system, the shipper attaches the Lockbox, which contains its clients‚Äô ordered goods, to a pre-installed U-shaped metal anchor, which protrudes from under their front door. Lockbox also allows the mail order companies and shippers to optimize their delivery routes as they are no longer dependent on making appointments with the end user for delivery. It was launched in 2013 by Thomas Kraker. Lockbox is based in Berlin, Germany.</t>
  </si>
  <si>
    <t>https://www.linkedin.com/company/lockbox-gmbh</t>
  </si>
  <si>
    <t>http://www.lockboxsystem.com</t>
  </si>
  <si>
    <t>info@lockboxsystem.com</t>
  </si>
  <si>
    <t>+49 30 80570052</t>
  </si>
  <si>
    <t>Thomas Kraker von Schwarzenfeld</t>
  </si>
  <si>
    <t>E-Commerce; Internet; Logistics; Packaging Services; Supply Chain Management</t>
  </si>
  <si>
    <t>CircularTree</t>
  </si>
  <si>
    <t>herr</t>
  </si>
  <si>
    <t>211e8bc8-d08a-4eb3-8a40-4fbb3a86264d</t>
  </si>
  <si>
    <t>Synchronizing supply chain compliance management</t>
  </si>
  <si>
    <t>CircularTree, Synchronizing supply chain compliance management through blockchain technology Making it simpler and safer for ‚Äãorganizations to tackle their responsibilities along the supply chain</t>
  </si>
  <si>
    <t>https://www.linkedin.com/company/circulartree</t>
  </si>
  <si>
    <t>https://www.circulartree.com</t>
  </si>
  <si>
    <t>gunther@circulartree.com</t>
  </si>
  <si>
    <t>Gunther Walden; Joerg Walden</t>
  </si>
  <si>
    <t>Information Technology; Software</t>
  </si>
  <si>
    <t>management; marketing; operations</t>
  </si>
  <si>
    <t>Locanis</t>
  </si>
  <si>
    <t>locanis</t>
  </si>
  <si>
    <t>a94f0734-6268-911a-1a46-e16ec3a1077a</t>
  </si>
  <si>
    <t>Wharehouse optimizing via hard- and software</t>
  </si>
  <si>
    <t>Locanis develops and distributes intelliGence¬Æ, a patented inhouse navigation system for forklifts, which provides improved control and efficiency in the warehouse supply chain. The system gives complete, real-time transparency for inbound transportation and helps to optimize loading and transportation movements. Accurate warehouse tracking by Locanis not only enables compliance with EU regulations for the feed, food and beverage industries, but also unlocks tremendous potential for optimization of warehouse logistics. Locanis is used in more than 25 large warehouses primarily in the beverage industry.</t>
  </si>
  <si>
    <t>https://www.linkedin.com/company/locanis-ag</t>
  </si>
  <si>
    <t>http://www.locanis.com</t>
  </si>
  <si>
    <t>Hardware; Internet; Navigation; Software</t>
  </si>
  <si>
    <t>Visiopharma Technologies</t>
  </si>
  <si>
    <t>visiopharma-technologies</t>
  </si>
  <si>
    <t>d6523b53-6e7c-4350-a5d1-ccb067249644</t>
  </si>
  <si>
    <t>Visiopharma Technologies is a global solution provider for brand protection and supply chain digitalization.</t>
  </si>
  <si>
    <t>https://www.linkedin.com/company/visiopharma-technologies-gmbh</t>
  </si>
  <si>
    <t>https://visiopharma.com/</t>
  </si>
  <si>
    <t>49 30 707870019</t>
  </si>
  <si>
    <t>Information Technology</t>
  </si>
  <si>
    <t>Imanova Media Services</t>
  </si>
  <si>
    <t>imanova-media-services</t>
  </si>
  <si>
    <t>b733d643-1b3d-51f7-3bf0-8b1ce3a94082</t>
  </si>
  <si>
    <t>eCommerce outsourcing services</t>
  </si>
  <si>
    <t>Imanova offers e-commerce outsourcing services for leading brands and companies. From platform development, through supply chain mgmt., customer services or e-fullfilment. Imanova also develops Facebook e-shops, completely customized for clients needs. The full buying experience runs inside FB, from catalog browse to payment. At this moment, Imanova manage the eCommerce services of the main nationwide TV channels in Spain and a few leading brands such as Osborne (food and beverage) owner of TORO de Osborne, known as the Bull of Spain. You can see more on their website. Imanova also has their own eCommerce business, like www.funforface.com (to be launched in October 18th 2010), a facebook e-shop with personalized products for facebook lovers, for facebookers. Imanova is looking for aliances with similar European and US companies in order to expand their range of services and customer base.</t>
  </si>
  <si>
    <t>http://www.imanova.es</t>
  </si>
  <si>
    <t>info@imanova.es</t>
  </si>
  <si>
    <t>34 918 25 91 99</t>
  </si>
  <si>
    <t>E-Commerce; Internet</t>
  </si>
  <si>
    <t>Madrid</t>
  </si>
  <si>
    <t>Skynet Technology Group</t>
  </si>
  <si>
    <t>skynet-technology-group</t>
  </si>
  <si>
    <t>5e86576e-40ed-a790-232a-9126b9fdba80</t>
  </si>
  <si>
    <t>Technology Strategists</t>
  </si>
  <si>
    <t>SkyNet Cyber Systems is a full service strategy and technology consulting firm headquartered in Atlanta, Georgia and includes creative and development teams stretching across the the USA, South Africa, Europe, Hong Kong, India and Shanghai. SkyNet primarily provides: technology strategy consulting, custom technology development, custom mobility applications (development &amp; strategy), digital media design and implementation (including physical interactive experiences, brand launches and event management), and e/m-commerce solutions to businesses and consumers nationwide. Our Skilled Team of Operators excel in developing and implementing technology solutions that are truly tailored to our clients individual needs. Our firm services and specialties include: - Mobile Application Development and Payment Solutions (mCommerce) - Digital Media Design and Deployment (Specific focuses on Computer Vision, Augmented Reality and HCI) - Event Management Applications (focused specifically on Athletics, Community Organizations and Educational Facilities) - ERP Consultations and Implementations (including PoS, WMS, Supply Chain Solutions, Telephony, etc.)</t>
  </si>
  <si>
    <t>http://www.theskynet.biz</t>
  </si>
  <si>
    <t>info@theskynet.biz</t>
  </si>
  <si>
    <t>Consulting; Information Technology; Software</t>
  </si>
  <si>
    <t>Roswell</t>
  </si>
  <si>
    <t>Whisk Food B.V.</t>
  </si>
  <si>
    <t>whisk-food-b-v</t>
  </si>
  <si>
    <t>e8b8b394-47c2-44e6-956c-ce8ba0e25d97</t>
  </si>
  <si>
    <t>Whisk Food B.V. provides supplement formulation, manufacturing, and global distribution services using a tech-enabled platform.</t>
  </si>
  <si>
    <t>Whisk Food B.V. provides supplement formulation, manufacturing, and distribution services for brands. The company supports customers from product idea to market, using a technology-driven platform to manage quotations, sourcing, and production. It works with a European facility and ships to many countries. Services cover ingredient selection, product development, and supply chain coordination for food supplements.</t>
  </si>
  <si>
    <t>https://www.linkedin.com/company/whiskfood</t>
  </si>
  <si>
    <t>https://whiskfood.com</t>
  </si>
  <si>
    <t>Agriculture; Cloud Computing; Dietary Supplements; Food and Beverage; Food Processing; Manufacturing; Software; Supply Chain Management</t>
  </si>
  <si>
    <t>Ci Andes Export</t>
  </si>
  <si>
    <t>ci-andes-export</t>
  </si>
  <si>
    <t>c4d3e0d8-4529-40d6-919f-d9faa9b12563</t>
  </si>
  <si>
    <t>C.I. Andes Export Company S.A.S. exports Colombian exotic fruits such as gooseberries to markets in Europe and the United States.</t>
  </si>
  <si>
    <t>C.I. Andes Export Company S.A.S. exports Colombian exotic fruits to international buyers. The company focuses on gooseberries as its main product and offers them in different formats according to customer requirements. It serves clients in Europe and the United States, coordinating sourcing, processing, and logistics from Colombia. Operations include collaboration with local producers and adherence to agricultural and food safety standards. Services are aimed at importers, wholesalers, and distributors in the fresh produce supply chain.</t>
  </si>
  <si>
    <t>http://www.linkedin.com/company/c-i-andes-export-company-s.a.s.</t>
  </si>
  <si>
    <t>https://www.andesexport.com</t>
  </si>
  <si>
    <t>jlaverde@andesexport.com</t>
  </si>
  <si>
    <t>+57 310-819-7934</t>
  </si>
  <si>
    <t>Agriculture; Farming; Food and Beverage; Food Processing; Fruit; Logistics; Supply Chain Management; Wholesale</t>
  </si>
  <si>
    <t>Lopiccolo Bros Produce</t>
  </si>
  <si>
    <t>lopiccolo-bros-produce</t>
  </si>
  <si>
    <t>783ddfd1-77dc-440a-adb2-5ce3721373ae</t>
  </si>
  <si>
    <t>LoPiccolo Bros Produce wholesales fresh fruits, vegetables, and related foodservice products to restaurants and foodservice operators.</t>
  </si>
  <si>
    <t>LoPiccolo Bros Produce wholesales fresh fruits, vegetables, and related foodservice products to restaurants and other foodservice operators. The company sources produce directly from major growing regions through established relationships with growers and shippers that follow food safety programs. It inspects incoming loads for temperature, size, and grade against USDA Good Delivery Standards. LoPiccolo Bros offers year-round contracting and hi/low pricing options for higher-volume customers. It focuses on maintaining cold-chain conditions and an up-to-date facility to keep products fresh while distributing across Michigan and Ohio.</t>
  </si>
  <si>
    <t>https://www.linkedin.com/company/lopiccolo-brothers-produce-inc</t>
  </si>
  <si>
    <t>https://lopiccolobros.com</t>
  </si>
  <si>
    <t>+1 313-831-8220</t>
  </si>
  <si>
    <t>Agriculture; Food and Beverage; Food Delivery; Food Processing; Logistics; Supply Chain Management; Wholesale</t>
  </si>
  <si>
    <t>Detroit</t>
  </si>
  <si>
    <t>American Restaurant Association</t>
  </si>
  <si>
    <t>american-restaurant-association</t>
  </si>
  <si>
    <t>df62983a-d88a-417c-a0c7-12805a53c2ee</t>
  </si>
  <si>
    <t>American Restaurant Association, a premier provider of food commodity economic and sourcing expertise.</t>
  </si>
  <si>
    <t>American Restaurant Association has been the premier food energy commodity services organization, specializing in Supply Chain Data Intelligence for the U.S. Food Service Industry and Supply Chain including restaurants, food manufacturers, food processors and distributors. Areas of expertise and services include Food Price Research Tools, Food Forecasting Tools and ChainBrain Supply Chain Analytics. ARA also assists food and energy buyers in managing volatile commodity markets through an expert team of series three licensed commodity specialists.</t>
  </si>
  <si>
    <t>https://www.linkedin.com/company/american-restaurant-association/?originalSubdomain=in</t>
  </si>
  <si>
    <t>http://www.americanrestaurantassociation.com/</t>
  </si>
  <si>
    <t>info@americanrestaurantassociation.com</t>
  </si>
  <si>
    <t>+(941) 379-2228</t>
  </si>
  <si>
    <t>Food and Beverage</t>
  </si>
  <si>
    <t>Sarasota</t>
  </si>
  <si>
    <t>German Products Estonia O√ú</t>
  </si>
  <si>
    <t>german-products-estonia-o√º</t>
  </si>
  <si>
    <t>449435a8-8592-401a-8df2-69bc4f75cad6</t>
  </si>
  <si>
    <t>German Products Estonia is an importer and wholesaler of consumer goods including baby care products, beverages, groceries, and toys.</t>
  </si>
  <si>
    <t>German Products Estonia is an importer, wholesaler, and distributor of fast-moving consumer goods. It focuses on non-specialized wholesale trade across categories such as baby food and care accessories, hot beverages, organic groceries, and educational toys. The company distributes brands including NUK baby accessories, B√ºbchen infant skincare, Dallmayr coffee, Yogi Tea, Friso child nutrition formulas, and PlayMais educational toys. It serves retailers and institutional buyers seeking branded products for infants, families, and everyday consumption. German Products Estonia coordinates logistics, procurement, and warehousing via the wider German Products Baltics group network.</t>
  </si>
  <si>
    <t>https://lv.linkedin.com/company/german-products-baltics-sia</t>
  </si>
  <si>
    <t>http://www.gpbaltics.lv</t>
  </si>
  <si>
    <t>info@gpestonia.ee</t>
  </si>
  <si>
    <t>+372 609 8030</t>
  </si>
  <si>
    <t>Baby; Consumer Goods; Fast-Moving Consumer Goods; Food and Beverage; Logistics; Organic Food; Retail; Supply Chain Management; Wholesale</t>
  </si>
  <si>
    <t>Tallinn</t>
  </si>
  <si>
    <t>Estonia</t>
  </si>
  <si>
    <t>BaltexFoods OU</t>
  </si>
  <si>
    <t>baltexfoods-ou</t>
  </si>
  <si>
    <t>3892e49d-8cda-4797-963d-aa58c154b7d3</t>
  </si>
  <si>
    <t>Flame Solutions is a distributor and wholesaler of coffee, cocoa, spices, confectionery ingredients, and food industry supplies.</t>
  </si>
  <si>
    <t>Flame Solutions operates as a wholesale and distribution company focused on coffee, tea, cocoa, spices, and related food products. The company supplies ingredients and raw materials for confectionery and dairy production, including chocolate products, cocoa powder, and flavor components. It serves food manufacturers, HoReCa clients, and other industrial customers that require bulk quantities and regular deliveries. Flame Solutions manages localized trade logistics and distribution arrangements rather than direct-to-consumer channels. Its activities align with the wholesale of food, beverages, and tobacco, with specialization in cocoa-based and confectionery ingredients.</t>
  </si>
  <si>
    <t>https://baltexfoods.com</t>
  </si>
  <si>
    <t>info@baltexfoods.com</t>
  </si>
  <si>
    <t>+372 585 36133</t>
  </si>
  <si>
    <t>Animal Feed; B2B; Confectionery; Dairy; Food and Beverage; Food Processing; Logistics; Supply Chain Management; Wholesale</t>
  </si>
  <si>
    <t>Motroonik</t>
  </si>
  <si>
    <t>motroonik</t>
  </si>
  <si>
    <t>cb66ca9f-89dc-49b1-937d-97d2064cbd07</t>
  </si>
  <si>
    <t>Motroonik supplies, rents, maintains, and repairs forklifts, warehouse lifting equipment, and related storage systems and parts.</t>
  </si>
  <si>
    <t>Motroonik specializes in the distribution, rental, maintenance, and repair of forklifts and warehouse lifting equipment. The company serves industrial and logistics clients with diesel, LPG, and electric Mitsubishi forklift trucks, as well as pallet stackers, reach trucks, tow tractors, and hand pallet jacks. Motroonik also supplies warehouse furnishings, including storage racks and shelving systems that support various material handling layouts. Its service offering covers diagnostics, scheduled maintenance, and comprehensive repair for multiple forklift brands. The company maintains an inventory of spare parts, lifting platforms, fork extensions, and other attachments to support fast turnaround and equipment uptime. Motroonik additionally offers accessories such as safety man baskets and semi-electric stackers, helping customers adapt equipment to specific handling tasks. Through these combined products and services, Motroonik focuses on complete lifecycle support for warehouse and material handling fleets.</t>
  </si>
  <si>
    <t>https://www.motroonik.ee</t>
  </si>
  <si>
    <t>info@motroonik.ee</t>
  </si>
  <si>
    <t>+372 5159081</t>
  </si>
  <si>
    <t>Fleet Management; Industrial; Industrial Automation; Industrial Manufacturing; Logistics; Mechanical Engineering; Productivity Tools; Supply Chain Management; Warehouse Automation; Warehousing</t>
  </si>
  <si>
    <t>ASVA Trading</t>
  </si>
  <si>
    <t>asva-trading</t>
  </si>
  <si>
    <t>49b1d73e-d76d-4b6e-b26e-7961690b4153</t>
  </si>
  <si>
    <t>ASVA Trading is an automotive aftermarket supplier distributing ASVA brand suspension, drivetrain, braking, and engine mounting components.</t>
  </si>
  <si>
    <t>ASVA Trading is an automotive aftermarket supplier that distributes ASVA brand spare parts for passenger and light commercial vehicles. The company focuses on wholesale and e-commerce channels, offering components such as CV joints and boots, wheel hubs, bearings, brake pads and calipers, and a wide range of suspension arms, tie rods, stabilizer links, and ball joints. Its portfolio also includes rubber products such as bushings, CV joint boots, strut mounts, and engine mountings, as well as pulleys and rollers used in belt drive systems. ASVA Trading serves distributors, service workshops, and parts retailers that require catalog-based ordering of replacement parts. The company supports multi-regional distribution through warehousing and logistics operations in Europe and Asia and supplies products primarily under the ASVA brand.</t>
  </si>
  <si>
    <t>https://www.linkedin.com/company/asva-trading-ltd-o%C3%BC</t>
  </si>
  <si>
    <t>https://asva-trading.com/</t>
  </si>
  <si>
    <t>manager@asva-trading.com</t>
  </si>
  <si>
    <t>Automotive; Consumer Goods; E-Commerce; Logistics; Manufacturing; Retail; Supply Chain Management; Wholesale</t>
  </si>
  <si>
    <t>Copyright - KARU.TRADE</t>
  </si>
  <si>
    <t>copyright-karu-trade</t>
  </si>
  <si>
    <t>1eadca8a-37a4-4c9d-bd06-95434eb55c70</t>
  </si>
  <si>
    <t>Karu Trade is a wholesale and retail distributor of genuine and aftermarket automotive and motorcycle parts and accessories.</t>
  </si>
  <si>
    <t>Karu Trade is a wholesale and retail distributor of automotive and motorcycle parts and accessories. The company specializes in supplying original equipment manufacturer car parts along with budget aftermarket spares for cars, motorcycles and heavy goods vehicles. It manages a consolidated inventory of genuine and OEM brands and focuses on serving B2B customers such as workshops, dealers and resellers. Karu Trade offers product categories that include genuine car parts, aftermarket spares, truck components, motor oils and tyres. It supports customers with consolidated shipping, various delivery options and drop-shipping services for international orders. The business operates structured distribution workflows that cover sourcing, warehousing and outbound logistics for partners of different sizes. Its services are aimed at helping automotive resellers access a wide range of parts from one supplier.</t>
  </si>
  <si>
    <t>https://karutrade.ee/</t>
  </si>
  <si>
    <t>info@karutrade.ee</t>
  </si>
  <si>
    <t>Automotive; B2B; Consumer Goods; Logistics; Manufacturing; Motorsports; Retail; Supply Chain Management; Transportation; Wholesale</t>
  </si>
  <si>
    <t>Chanan Trucking INC.</t>
  </si>
  <si>
    <t>chanan-trucking-inc</t>
  </si>
  <si>
    <t>a50a756c-2fdf-4cfd-9e5c-84fd3b0fa93c</t>
  </si>
  <si>
    <t>Channa Trucking provides construction-focused commercial hauling and trucking services for materials and dump site transport.</t>
  </si>
  <si>
    <t>Channa Trucking provides full-service trucking and commercial hauling solutions focused on construction projects. The company operates a mixed fleet including 10-wheel, super-dump, super-tag, end-dump, transfer and Super 10 dump trucks to move aggregate, sand, gravel and other bulk construction materials. Channa Trucking serves contractors, truck owners and project developers that require short-haul and regional transportation of materials and access to suitable dump sites. Services include dispatch-managed trucking, daily local and long-haul driving, and coordination of material sourcing and delivery. The company also partners with subhaulers under formal agreements to expand capacity for construction hauling needs. Channa Trucking emphasizes permit-compliant operations supported by certified drivers and dedicated dispatch staff.</t>
  </si>
  <si>
    <t>https://www.channatrucking.com/</t>
  </si>
  <si>
    <t>info@channatrucking.com</t>
  </si>
  <si>
    <t>(925) 567-6291</t>
  </si>
  <si>
    <t>Compliance; Construction; Fleet Management; Human Resources; Logistics; Supply Chain Management; Training; Transportation</t>
  </si>
  <si>
    <t>Metall Construction Group O√ú</t>
  </si>
  <si>
    <t>metall-construction-group-o√º</t>
  </si>
  <si>
    <t>44a68fe3-46e7-437e-b38c-d3e64d6f785e</t>
  </si>
  <si>
    <t>Metall Construction Group designs, fabricates, and installs metal structures, sandwich panels, and custom welded components for construction</t>
  </si>
  <si>
    <t>Metall Construction Group operates as a construction and engineering company focused on metal structures for building projects. The company designs and manufactures custom metal components and frames and handles their delivery, on-site assembly, and installation. It installs sandwich panels according to customer layouts to form insulated building envelopes for warehouses, facades, and other facilities. Metall Construction Group also produces bespoke metal products and carries out welding work at residential, industrial, and utility sites. Its services are used by general contractors and construction organizations that need structural metalwork and building envelope solutions for new builds and refurbishments.</t>
  </si>
  <si>
    <t>http://www.mcgroup.ee</t>
  </si>
  <si>
    <t>info.mcgroup@mail.ee</t>
  </si>
  <si>
    <t>+372 5858 0111</t>
  </si>
  <si>
    <t>Building Material; Construction; Industrial Manufacturing; Manufacturing; Mechanical Engineering; Supply Chain Management</t>
  </si>
  <si>
    <t>Chain TLM</t>
  </si>
  <si>
    <t>chain-tlm</t>
  </si>
  <si>
    <t>281923f0-df8a-4bb6-a3b0-01237cc2c2f9</t>
  </si>
  <si>
    <t>Chain TLM develops a digital trade and logistics platform and provides cross-border market entry consultancy services.</t>
  </si>
  <si>
    <t>Chain TLM develops information technology solutions and consultancy services for international trade and logistics. The company focuses on connecting European businesses with partners in the Middle East and North Africa through market entry and trade development consulting. It helps clients identify suppliers, buyers, and distributors and navigate regulatory, commercial, and cultural requirements for cross-border transactions. Chain TLM also develops the Chain TLM Platform, an IT environment that unites trade, transport, and logistics participants for secure transactions and shipment management. The platform incorporates technologies such as blockchain, digital contracts, and internet-of-things tracking to support multimodal freight, vehicle monitoring, and electronic documentation. Through its platform and advisory services, Chain TLM supports companies in structuring, executing, and monitoring international trade and logistics operations.</t>
  </si>
  <si>
    <t>https://ee.linkedin.com/company/chain-tlm</t>
  </si>
  <si>
    <t>https://chaintlm.com/</t>
  </si>
  <si>
    <t>project@chaintlm.com</t>
  </si>
  <si>
    <t>+372 55515386</t>
  </si>
  <si>
    <t>Blockchain; Cloud Computing; Consulting; Internet of Things; Logistics; Software; Supply Chain Management; Transportation</t>
  </si>
  <si>
    <t>LORNA'S XPRESS LTD</t>
  </si>
  <si>
    <t>lorna-s-xpress-ltd</t>
  </si>
  <si>
    <t>3d0ec523-e9e9-468b-8dea-48fbaf8dbbea</t>
  </si>
  <si>
    <t>Lorna's Xpress provides wholesale distribution, e-commerce retail, and local transportation services for businesses and consumers.</t>
  </si>
  <si>
    <t>Lorna's Xpress operates as a trade and logistics provider focused on wholesale distribution, e-commerce retail, and transportation services. The company sources and supplies a wide range of goods for business-to-business wholesale customers. It also sells products directly to consumers through online retail channels and mail order. In addition, Lorna's Xpress offers flexible local and niche carrier services that support different logistics requirements. Its services are designed to connect wholesale supply with end customers and to support both business and individual shipping needs through a streamlined distribution and transportation model.</t>
  </si>
  <si>
    <t>http://lornaxpress.com</t>
  </si>
  <si>
    <t>lornaexpress@mail.com</t>
  </si>
  <si>
    <t>Courier Service; Delivery Service; E-Commerce; Logistics; Retail; Supply Chain Management; Transportation; Wholesale</t>
  </si>
  <si>
    <t>CHL TRADING LIMITED</t>
  </si>
  <si>
    <t>chl-trading-limited</t>
  </si>
  <si>
    <t>dd9704e6-d9a1-422d-8fb3-598687eb1cf0</t>
  </si>
  <si>
    <t>CHL Trading designs, manufactures, and wholesales custom headwear for streetwear brands, retailers, and licensed military programs.</t>
  </si>
  <si>
    <t>CHL Trading designs, manufactures, and wholesales custom headwear for private label and branded programs. The company focuses on caps and hats that align with contemporary street fashion trends and licensed military branding requirements. It manages creative design, logistics, and customer support to deliver structured headwear programs from concept through production. CHL Trading develops products for retailers, individual business owners, and corporate brands that need custom programs under their own labels. Its services include design research, material and style development, coordination with manufacturing partners, and bulk distribution. The company also produces officially licensed headwear for institutions such as the U.S. Army and U.S. Air Force.</t>
  </si>
  <si>
    <t>https://chltrading.com/</t>
  </si>
  <si>
    <t>sales@chltrading.com</t>
  </si>
  <si>
    <t>(323) 585-5599</t>
  </si>
  <si>
    <t>Apparel; Brand Marketing; Fashion; Logistics; Manufacturing; Military; Product Design; Retail; Supply Chain Management; Wholesale</t>
  </si>
  <si>
    <t>Vernon Hills</t>
  </si>
  <si>
    <t>Laotarkvara</t>
  </si>
  <si>
    <t>laotarkvara</t>
  </si>
  <si>
    <t>087e294a-fa63-432e-9b0d-7cc0da9990b3</t>
  </si>
  <si>
    <t>Laotarkvara develops custom warehouse management software for customs, excise, and rental warehouses.</t>
  </si>
  <si>
    <t>Laotarkvara develops custom warehouse management software focused on specialized logistics environments. The company maintains and evolves the Eurotec Tolliladu system, which handles customs warehouses, excise warehouses, and rental commercial warehouses. Its core module manages goods inflows and outflows, changes of ownership, packaging adjustments, and reporting. Laotarkvara provides dedicated functionality for alcohol, tobacco, and fuel excise management where standardized digital compliance is required. The software integrates with the Estonian Tax and Customs Board LAAK electronic system to automate declaration workflows. Laotarkvara also offers consulting, database management, and tailored software adjustments around its warehouse management platform. Customers can access the solution through either one-time purchase or subscription-based rental models.</t>
  </si>
  <si>
    <t>https://laotarkvara.ee/</t>
  </si>
  <si>
    <t>info@laotarkvara.ee</t>
  </si>
  <si>
    <t>+372 654 2200</t>
  </si>
  <si>
    <t>Cloud Computing; Consulting; Customer Service; Enterprise Software; Logistics; Software; Supply Chain Management; Tax Consulting; Warehouse Automation</t>
  </si>
  <si>
    <t>Polest Trans O√ú</t>
  </si>
  <si>
    <t>polest-trans-o√º</t>
  </si>
  <si>
    <t>ce6ccfca-f0ac-4682-aa17-b8d9d52f393f</t>
  </si>
  <si>
    <t>Polest Trans provides logistics services including freight transport, secure storage, and related logistics support activities.</t>
  </si>
  <si>
    <t>Polest Trans provides logistics services focused on moving freight and supporting supply chain operations. The company offers comprehensive road-based transport solutions, including fast delivery, transit between countries, and the transport of heavy goods. It also provides secure storage services such as safe warehousing, inventory management, and order fulfillment. Additional logistics support activities include customs clearance, cargo insurance, and delivery chain consultations. The company works with clients that need goods moved efficiently between production sites, warehouses, and end customers. Polest Trans structures its services so businesses can combine transport, storage, and planning support as part of a single logistics partner.</t>
  </si>
  <si>
    <t>https://polest.ee/en/</t>
  </si>
  <si>
    <t>mihhail@polest.ee</t>
  </si>
  <si>
    <t>+372 5587776</t>
  </si>
  <si>
    <t>Business Process Automation (BPA); Consulting; Delivery; Freight Service; Logistics; Supply Chain Management; Transportation; Warehousing</t>
  </si>
  <si>
    <t>J√§rvek√ºla</t>
  </si>
  <si>
    <t>Raian Transport O√ú</t>
  </si>
  <si>
    <t>raian-transport-o√º</t>
  </si>
  <si>
    <t>951306f0-39b0-4ffd-8b25-241a6eff02a2</t>
  </si>
  <si>
    <t>Raian Transport provides domestic and international road freight and cargo transport services.</t>
  </si>
  <si>
    <t>Raian Transport provides road freight transport services for commercial cargo. The company focuses on organizing and executing domestic and cross-border truck-based shipments for business customers. Its services cover the planning, loading, and delivery of goods using utility freight trucks suited to different cargo types. Raian Transport operates within the broader transportation and storage sector with an emphasis on scheduled and contract-based freight movements. The company supports clients that need consistent logistics capacity rather than one-off small parcel services. It concentrates on road-based supply routes, coordinating timing and routes to meet customer shipping requirements. Raian Transport works as part of a Nordic transport network that connects regional shippers with larger cross-border freight flows.</t>
  </si>
  <si>
    <t>http://raian.ee</t>
  </si>
  <si>
    <t>info@raian.ee</t>
  </si>
  <si>
    <t>+372 766 3937</t>
  </si>
  <si>
    <t>Commercial; Delivery Service; Fleet Management; Freight Service; Logistics; Shipping; Supply Chain Management; Transportation; Travel; Warehousing</t>
  </si>
  <si>
    <t>FAYED HOLDINGS LTD</t>
  </si>
  <si>
    <t>fayed-holdings-ltd</t>
  </si>
  <si>
    <t>0662ebae-3ba1-4584-8fc9-29413d4d8cb3</t>
  </si>
  <si>
    <t>Fayed Holdings provides B2B food sourcing, logistics management, and quality compliance services for agricultural supply chains.</t>
  </si>
  <si>
    <t>Fayed Holdings operates as a B2B logistics management and food procurement company serving agricultural supply chains. The company connects international agricultural producers with commercial buyers, focusing on clients such as food manufacturers, distributors, importers, and wholesalers. Its sourcing services cover fresh produce, frozen goods, and agricultural commodities from supplier networks across Africa and Europe. Fayed Holdings manages supply chains end to end, including cold-chain transportation, cross-border freight coordination, and customs clearance documentation. The company also provides quality and compliance services, performing pre-shipment inspections and verifying adherence to UK and EU safety, traceability, and certification standards. Through these offerings, it supports customers in maintaining predictable product availability and managing regulatory requirements within international food trade.</t>
  </si>
  <si>
    <t>https://fayedholdings.co.uk/</t>
  </si>
  <si>
    <t>info@fayedholdings.co.uk</t>
  </si>
  <si>
    <t>+44 745 3415674</t>
  </si>
  <si>
    <t>Agriculture; B2B; Compliance; Food and Beverage; Logistics; Quality Assurance; Supply Chain Management; Transportation</t>
  </si>
  <si>
    <t>ESTMA Terminaali Osa√ºhing</t>
  </si>
  <si>
    <t>estma-terminaali-osa√ºhing</t>
  </si>
  <si>
    <t>c419ef28-18e1-4c98-b1fe-77603b149761</t>
  </si>
  <si>
    <t>ESTMA Terminaali provides bonded warehousing, cargo consolidation, customs terminal services, and packaging and distribution support.</t>
  </si>
  <si>
    <t>ESTMA Terminaali provides logistics and warehouse services focused on bonded storage, cargo handling, and transport support. The company operates secured bonded warehouse facilities designed for international freight. Its services include packing, unpacking, repacking, and stock control for commercial cargo. ESTMA Terminaali offers cargo consolidation for less than container load and groupage shipments, as well as transit storage management. It also provides customs terminal services, including support for customs declarers and assistance with customs declaration procedures. Additional services cover value-added warehousing tasks and coordination of regional distribution for manufacturers, trading companies, and logistics partners.</t>
  </si>
  <si>
    <t>http://estmaterminal.ee</t>
  </si>
  <si>
    <t>warehouse@estmaterminal.ee</t>
  </si>
  <si>
    <t>+372 504 4437</t>
  </si>
  <si>
    <t>Commercial; Customer Service; Freight Service; Logistics; Shipping; Supply Chain Management; Transportation; Warehousing</t>
  </si>
  <si>
    <t>Areantincendi</t>
  </si>
  <si>
    <t>areantincendi</t>
  </si>
  <si>
    <t>8366e118-4671-41d4-b940-bd03a1767d6e</t>
  </si>
  <si>
    <t>Areantincendi is a fire and accident prevention company that supplies protective equipment, fire extinguishers, and fighting systems.</t>
  </si>
  <si>
    <t>https://www.linkedin.com/company/areantincendi-srl/</t>
  </si>
  <si>
    <t>https://areantincendi.it/</t>
  </si>
  <si>
    <t>info@areantincendi.it</t>
  </si>
  <si>
    <t>+39 052 284 9045</t>
  </si>
  <si>
    <t>Consulting; Public Safety; Supply Chain Management; Training</t>
  </si>
  <si>
    <t>Rubiera</t>
  </si>
  <si>
    <t>Italy</t>
  </si>
  <si>
    <t>Pyramid Tubular Products</t>
  </si>
  <si>
    <t>pyramid-tubular-products</t>
  </si>
  <si>
    <t>c402e8fa-e10c-4092-8a02-2cbf5979b58e</t>
  </si>
  <si>
    <t>Pyramid Tubular Products is a supply chain solutions company that provides pipe and pyramid tubular products.</t>
  </si>
  <si>
    <t>P2 Energy Services provides supply chain management right product solutions, drilling situation and budget, reporting, customer service, oil and gas needs, pipe and pyramid tubular products,  casing, tubing, and repair services.</t>
  </si>
  <si>
    <t>https://www.linkedin.com/company/pyramidtubular</t>
  </si>
  <si>
    <t>https://p2energyservices.com</t>
  </si>
  <si>
    <t>sales@p2energyservices.com</t>
  </si>
  <si>
    <t>+1 832 300 8100</t>
  </si>
  <si>
    <t>Customer Service; Product Management; Supply Chain Management</t>
  </si>
  <si>
    <t>Spring</t>
  </si>
  <si>
    <t>finance; management; sales</t>
  </si>
  <si>
    <t>goERPcloud</t>
  </si>
  <si>
    <t>goerpcloud</t>
  </si>
  <si>
    <t>0e31ab47-840b-8c1c-874d-63d6f7ea2057</t>
  </si>
  <si>
    <t>goERPcloud provides small businesses with an enterprise resource planning solution that meets their needs.</t>
  </si>
  <si>
    <t>goERPcloud matches small businesses with an enterprise resource planning solution that fits their needs. From ERP for manufacturing, to supply chain management, to mobile ERP, our partners blog about the best ERP software solutions directly from the best ERP software companies in the nation. Contact us today for your risk-free 30-day trial.</t>
  </si>
  <si>
    <t>http://www.linkedin.com/company/goerpcloud</t>
  </si>
  <si>
    <t>http://www.goerpcloud.com</t>
  </si>
  <si>
    <t>info@goerpcloud.com</t>
  </si>
  <si>
    <t>Human Resources; Information Technology; Robotics; Software</t>
  </si>
  <si>
    <t>San Diego</t>
  </si>
  <si>
    <t>Erdenkind</t>
  </si>
  <si>
    <t>erdenkind-gmbh</t>
  </si>
  <si>
    <t>ad5aac5f-439b-ad38-dbd7-c1820b8d0a75</t>
  </si>
  <si>
    <t>Erdenkind expertise in the development of new mobility concepts based on a sensory-electromotive support system.</t>
  </si>
  <si>
    <t>Development of new mobility concepts based on a sensory-electromotive support system (e-motion), starting with a smart buggy (stroller)</t>
  </si>
  <si>
    <t>http://www.erdenkind.tv/</t>
  </si>
  <si>
    <t>Electronics; Home Services; Software; Supply Chain Management</t>
  </si>
  <si>
    <t>Halle</t>
  </si>
  <si>
    <t>PackDeck</t>
  </si>
  <si>
    <t>packdeck</t>
  </si>
  <si>
    <t>1cc804e1-4078-46ac-b228-314436e6098e</t>
  </si>
  <si>
    <t>A CRM and operations management software to help  industrial hemp businesses simplify and minimize tasks.</t>
  </si>
  <si>
    <t>PackDeck provides industrial hemp cultivators, processors, and manufacturers with more visibility in their supply chain. The B2B software enables efficiencies with more product movement in fewer steps by automating otherwise manual processes such as customer outreach, freight booking, and inventory updates. PackDeck started as a hemp building supply company, gaining a deep understanding of existing pain points and how they can be solved using technology. We exist so businesses can thrive in a developing landscape while democratizing enterprise level capabilities for the hemp industry.</t>
  </si>
  <si>
    <t>https://www.linkedin.com/company/pack-deck/</t>
  </si>
  <si>
    <t>https://packdeck.com/</t>
  </si>
  <si>
    <t>sales@packdeck.com</t>
  </si>
  <si>
    <t>214-642-3047</t>
  </si>
  <si>
    <t>Justin Johnson</t>
  </si>
  <si>
    <t>Cannabis; Software; Supply Chain Management</t>
  </si>
  <si>
    <t>Austin</t>
  </si>
  <si>
    <t>Fabryc</t>
  </si>
  <si>
    <t>fabryc</t>
  </si>
  <si>
    <t>291cc0f8-ab5b-4e13-bcd6-038960fea1ca</t>
  </si>
  <si>
    <t>Verify products, tell stories, and keep records securely using blockchain technology</t>
  </si>
  <si>
    <t>We are using blockchain technologies to allow companies to trace their supply chain or simply tell a story about their product, generate a QR code that customers can scan to see the product's story, and stores it all onto the ethereum blockchain. 	 The value here lies in being able to create a permanent ledger that cannot be changed for your products that anyone can access. For example if this was around during the time of Da Vinci, he could have recorded his paintings onto the blockchain and attached a QR code to the back of them. Then today we would be able to scan that QR and trace the painting back to him. This is a huge deal as some art experts claim almost 50% of paintings in museums are fake. Another use case would be for cars. Each car could have a QR code attached and every time a mechanic does a repair they could add that service record to the car's ledger, creating permanent service records (a big issue faced with buying used cars is a lack of service records).</t>
  </si>
  <si>
    <t>http://fabryc.org</t>
  </si>
  <si>
    <t>helan@fabryc.org</t>
  </si>
  <si>
    <t>Blockchain; Information Technology</t>
  </si>
  <si>
    <t>Santa Monica</t>
  </si>
  <si>
    <t>Pror</t>
  </si>
  <si>
    <t>pror</t>
  </si>
  <si>
    <t>4469f0f0-46e6-4aa1-be0b-cfaf7f3ebded</t>
  </si>
  <si>
    <t>Pror is a logistics &amp; Supply Chain Management companies, committed to delighting customers with seamless, end-to-end logistics solutions.</t>
  </si>
  <si>
    <t>Pror is one of India‚Äôs Fastest Growing Express Distribution and Supply Chain Management companies, committed to delighting customers with seamless, end-to-end logistics solutions backed by future-ready digital tools and technology. Pror provides a portfolio of transportation, e-commerce and business services through companies competing collectively and operating independently, under the Pror brand. The company provides express services, transportation services, warehousing solutions, e-commerce logistics, and express distribution. The Company's segments include Pror Express, Pror Trans, Pror Freight, Pror Courier, Pror Warehousing and Pror Services.</t>
  </si>
  <si>
    <t xml:space="preserve">https://www.linkedin.com/company/pror </t>
  </si>
  <si>
    <t>https://www.pror.co.in</t>
  </si>
  <si>
    <t>prorindia@gmail.com</t>
  </si>
  <si>
    <t>Delivery; E-Commerce; Logistics; Supply Chain Management</t>
  </si>
  <si>
    <t>Gurgaon</t>
  </si>
  <si>
    <t>American Elastic &amp; Tape, Inc.</t>
  </si>
  <si>
    <t>american-elastic-tape-inc</t>
  </si>
  <si>
    <t>b98a79a5-2064-4994-b36d-64efcb1d6df8</t>
  </si>
  <si>
    <t>American Elastic &amp; Tape manufactures knitted elastic and rigid tape products for apparel, uniforms, medical, and other textile applications.</t>
  </si>
  <si>
    <t>American Elastic &amp; Tape, Inc. manufactures knitted elastic and rigid tape for a range of textile applications. The company produces standard-width knitted elastic that maintains width under stretch and is available in various strengths, colors, and packing options. It offers custom color matching and supports both latex and non-latex compositions. American Elastic &amp; Tape also develops custom elastic and tape constructions, including specialty widths and grip styles, based on client specifications. Its products are used in apparel, uniforms, medical items, and other narrow fabric uses.</t>
  </si>
  <si>
    <t>https://www.linkedin.com/company/american-elastic-tape/</t>
  </si>
  <si>
    <t>https://www.americanelastic.com</t>
  </si>
  <si>
    <t>info@americanelastic.com</t>
  </si>
  <si>
    <t>Apparel; B2B; Consumer Goods; Industrial; Manufacturing; Medical; Supply Chain Management; Textiles</t>
  </si>
  <si>
    <t>Hialeah</t>
  </si>
  <si>
    <t>Cecil Perry &amp; Associates</t>
  </si>
  <si>
    <t>cecil-perry-associates</t>
  </si>
  <si>
    <t>574bcafd-405e-4fb4-84ef-6983e24386ee</t>
  </si>
  <si>
    <t>Cecil Perry &amp; Associates is a refurbished, and used office furniture solutions.</t>
  </si>
  <si>
    <t>Cecil Perry &amp; Associates is a full-service consultancy, dealer, and installer of new and refurbished office furniture solutions, It provides office design, commercial furniture installation, delivery, office moving, and professional repairs.</t>
  </si>
  <si>
    <t>https://www.linkedin.com/company/cecil-perry-&amp;-associates</t>
  </si>
  <si>
    <t>https://www.houstonofficefurniture.com</t>
  </si>
  <si>
    <t>cecilperry@cecilperry.com</t>
  </si>
  <si>
    <t>+1 281 658 9326</t>
  </si>
  <si>
    <t>Furniture; Product Design; Supply Chain Management</t>
  </si>
  <si>
    <t>Delcom Services</t>
  </si>
  <si>
    <t>delcom-services</t>
  </si>
  <si>
    <t>0aa253f5-1822-43f4-a887-98ad93e16b86</t>
  </si>
  <si>
    <t>Delcom Services provides international road, sea and air freight, warehousing, customs clearance and purchase-of-goods logistics services.</t>
  </si>
  <si>
    <t>Delcom Services is a transport and logistics company that provides international freight forwarding and cargo transportation services. The company arranges road, sea and air shipments between Estonia and other European Union countries, handling both full truckloads and smaller consignments. Its portfolio includes containerized sea freight, road transport, and related warehousing activities such as unloading, receiving, inspection, sorting and weighing of goods. Delcom Services also offers customs clearance and consulting for import and export procedures in the European Union and other jurisdictions. In addition, the company supports customers with purchase-of-goods services, helping source products in Europe and organize their delivery. Its operations cover a wide range of cargo types, sizes and complexities for commercial clients.</t>
  </si>
  <si>
    <t>http://delcom.ee/</t>
  </si>
  <si>
    <t>delcom.transport@hotmail.com</t>
  </si>
  <si>
    <t>+372 55570032</t>
  </si>
  <si>
    <t>Consulting; Customer Service; Freight Service; Logistics; Procurement; Shipping; Supply Chain Management; Transportation; Warehousing</t>
  </si>
  <si>
    <t>Urves O√ú</t>
  </si>
  <si>
    <t>urves-o√º</t>
  </si>
  <si>
    <t>03cf0679-d1a3-4255-acdb-9713208af652</t>
  </si>
  <si>
    <t>Urves distributes and wholesales frozen and chilled fish, fish products, and seafood to commercial and wholesale customers.</t>
  </si>
  <si>
    <t>Urves distributes and wholesales frozen and chilled fish, fish products, and seafood to professional buyers. The company focuses on supplying items such as salmon, flounder, pike-perch, hake, cod, trout, perch, sprat, breaded fish products, shrimp, tiger prawns, and caviar. Its product range includes fillets, whole fish, portions with or without skin, and other processed fish formats suitable for commercial use. Urves primarily serves large-scale kitchens, the HoReCa sector, and food wholesale firms that require consistent quality and regular deliveries. The company tailors its assortment to the needs of institutional and catering customers and invites buyers to request information about whole or gutted fish and specific product options.</t>
  </si>
  <si>
    <t>https://www.urves.ee/</t>
  </si>
  <si>
    <t>info@urves.ee</t>
  </si>
  <si>
    <t>+372 4437963</t>
  </si>
  <si>
    <t>Food and Beverage; Food Delivery; Food Processing; Hospitality; Logistics; Restaurants; Seafood; Supply Chain Management; Wholesale</t>
  </si>
  <si>
    <t>P√§rnu</t>
  </si>
  <si>
    <t>Norvex O√ú</t>
  </si>
  <si>
    <t>norvex-o√º</t>
  </si>
  <si>
    <t>76b64fa4-70bd-4076-a88b-7c9d5bfdd046</t>
  </si>
  <si>
    <t>Norvex provides logistics, international trade, and FMCG distribution services for cross-border supply chains.</t>
  </si>
  <si>
    <t>Norvex provides logistics, international trade, and FMCG distribution services for cross-border supply chains. The company designs and manages multimodal transportation, combining container, road, and rail freight with centralized management. It offers warehousing, consolidation, cross-docking, labeling, and storage in port and free economic zone facilities, including the port of Muuga. Norvex supports customs clearance, export and transit documentation, contractual arrangements, and trade compliance. It also helps businesses enter and expand in new markets through procurement support, supplier and buyer search, and distribution network development. For FMCG brands, Norvex delivers market entry strategy, localization, logistics to shelf, and ongoing analytics and marketing support.</t>
  </si>
  <si>
    <t>https://norvex.ee/</t>
  </si>
  <si>
    <t>jaana.nevolainen@norvex.ee</t>
  </si>
  <si>
    <t>+372 56 90 6000</t>
  </si>
  <si>
    <t>Commercial Real Estate; Customer Service; Farming; Food and Beverage; Freight Service; Logistics; Marketing; Supply Chain Management; Transportation; Warehousing</t>
  </si>
  <si>
    <t>Glazer Technologies</t>
  </si>
  <si>
    <t>glazer-technologies</t>
  </si>
  <si>
    <t>ffd706fb-ccae-415f-9784-1cd6899d2847</t>
  </si>
  <si>
    <t>Glazer Technologies provides an OSINT platform with AI agents, secure browsing, and data federation for intelligence and compliance teams.</t>
  </si>
  <si>
    <t>Glazer Technologies develops a cyber intelligence and open-source intelligence platform for investigative, security, and compliance teams. The company provides tools to collect, enrich, and structure data from the open, deep, and dark web and from internal systems. Glazer Technologies offers Glazer Agent as an AI-driven assistant for investigations, KYC and AML checks, cyber threat intelligence, and supply chain analysis. It offers Glazer Browser as an isolated browsing environment that supports anonymous web access, automated data capture, enrichment, and archival. It offers Glazer Federation as a central intelligence hub and API layer that connects internal and partner data sources and exposes them to downstream workflows. Its products are used to support investigations, cyber incident response, due diligence, and other intelligence-led processes.</t>
  </si>
  <si>
    <t>https://www.linkedin.com/company/glazer-technologies/</t>
  </si>
  <si>
    <t>https://glazer.ee</t>
  </si>
  <si>
    <t>info@glazer.ee</t>
  </si>
  <si>
    <t>Analytics; Artificial Intelligence (AI); Cloud Computing; Compliance; Cyber Security; Data Integration; Data Management; Machine Learning; Software</t>
  </si>
  <si>
    <t>Peher Enterprises</t>
  </si>
  <si>
    <t>peher-enterprises</t>
  </si>
  <si>
    <t>98d43bd8-668a-4ced-b103-caca5f336894</t>
  </si>
  <si>
    <t>Peher Enterprises trades and retails scaffolding fittings, couplers, accessories, and bulk milk cooling equipment.</t>
  </si>
  <si>
    <t>Peher Enterprises trades and retails scaffolding components and related hardware for construction and industrial use. The company supplies items such as scaffolding fittings, right angle and swivel couplers, joint pins, base plates, bottom and top cups, ledger blades, tie rods, jack rods, U head jacks, and Cuo and anchor nuts. Its catalog also includes specialized formwork accessories like water barriers, wing nuts, and prop nuts designed for concrete and shuttering applications. In addition, Peher Enterprises distributes bulk milk chillers and coolers for dairy chilling and storage. Products are targeted at contractors, builders, industrial users, and dairy operators who require structural support hardware and stainless steel cooling vessels for their operations.</t>
  </si>
  <si>
    <t>https://www.peherenterprises.in</t>
  </si>
  <si>
    <t>Agriculture; Construction; Dairy; Hardware; Industrial; Manufacturing; Supply Chain Management</t>
  </si>
  <si>
    <t>New Delhi</t>
  </si>
  <si>
    <t>GENIA BIG DATA S.R.L.</t>
  </si>
  <si>
    <t>genia-big-data-s-r-l</t>
  </si>
  <si>
    <t>34b5da1e-d366-49f4-8eb0-1d2c5e3b4c1e</t>
  </si>
  <si>
    <t>Genia Big Data develops custom business intelligence, ERP, and data analytics solutions powered by Qlik and artificial intelligence.</t>
  </si>
  <si>
    <t>Genia Big Data delivers business intelligence, data analytics, and digital process automation solutions for enterprises. The company designs and implements custom Qlik-powered dashboards, reporting tools, and predictive analytics that integrate data from disparate corporate systems. It develops tailored ERP platforms and workflow automation software to support operational efficiency, control, and planning across finance, supply chain, sales, marketing, IT, and human resources. Genia Big Data also builds and integrates artificial intelligence components such as chatbots, virtual assistants for management control, and recommendation engines into business applications. In addition, it co-develops and maintains Prevedo.it, an open-source management control and analytics platform aligned with advanced industrial and management standards. Its offerings are used across sectors including financial services, healthcare, manufacturing, public administration, retail, energy, and high tech to support data-driven decision-making.</t>
  </si>
  <si>
    <t>https://www.linkedin.com/company/genia-big-data</t>
  </si>
  <si>
    <t>https://www.geniabigdata.it</t>
  </si>
  <si>
    <t>info@geniabigdata.it</t>
  </si>
  <si>
    <t>+39 3921625373</t>
  </si>
  <si>
    <t>Artificial Intelligence (AI); Business Intelligence; Data Integration; Data Visualization; Digital Marketing; Enterprise Resource Planning (ERP); Enterprise Software; Predictive Analytics; Software; Supply Chain Management</t>
  </si>
  <si>
    <t>Leverano</t>
  </si>
  <si>
    <t>OEM Automatic</t>
  </si>
  <si>
    <t>oem-automatic-294e</t>
  </si>
  <si>
    <t>f05578ea-6e47-4a17-86a3-5501b71b294e</t>
  </si>
  <si>
    <t>OEM Automatic distributes industrial automation, safety, and electronic components to equipment manufacturers and engineering firms.</t>
  </si>
  <si>
    <t>OEM Automatic supplies industrial automation and electronic components to machinery manufacturers, systems integrators, and electrical engineering firms. The company acts as a value-added distributor, offering a broad product range that includes industrial bearings, cable chain and energy chain cables, vehicle camera systems, push buttons, switches, and panel components. Its portfolio also covers safety products such as Inxpect safety radars and fully assembled safety edges for factory automation lines. OEM Automatic focuses on components used in robotics, power feeders, process machinery, materials handling equipment, and vehicle and crane applications. Customers can source multiple categories of industrial components from a single distributor that coordinates deliveries through a regional logistics hub. The company complements its product offering with technical selection support to match components to specific industrial applications.</t>
  </si>
  <si>
    <t>https://www.oem.ee</t>
  </si>
  <si>
    <t>info@oem.ee</t>
  </si>
  <si>
    <t>+372 5059 849</t>
  </si>
  <si>
    <t>Electrical Distribution; Hardware; Industrial; Industrial Automation; Logistics; Manufacturing; Robotics; Supply Chain Management</t>
  </si>
  <si>
    <t>Amicum Logistics</t>
  </si>
  <si>
    <t>amicum-logistics</t>
  </si>
  <si>
    <t>4aafb707-a5f7-4b77-a4b3-9e82dbadacd6</t>
  </si>
  <si>
    <t>Amicum Logistics provides domestic and international freight forwarding, road transport, and specialized cargo services.</t>
  </si>
  <si>
    <t>Amicum Logistics provides domestic and international freight forwarding and transport services for a wide range of cargo types. The company organizes road freight using full truckload and less than truckload options, as well as door-to-door delivery for shipments across Europe and other regions. Amicum Logistics coordinates standard, mega, refrigerated, oversized, and special transport, including intermodal and bulk movements by sea, rail, and road. It also arranges container transport for full container loads and less than container loads and supports customs clearance. The company offers temperature-controlled warehousing with loading, order picking, and labeling services for food and other temperature-sensitive goods. In addition, Amicum Logistics provides trailer transport for vehicles, CE category substitute driver services, and modification of commercial vehicles and special-purpose vehicles. Its operations are supported by digital transport management tools that enable shipment tracking, electronic documentation, and estimated time of arrival and emissions information.</t>
  </si>
  <si>
    <t>https://amicum.ee/en/</t>
  </si>
  <si>
    <t>info@amicum.ee</t>
  </si>
  <si>
    <t>+372 55 5819 98</t>
  </si>
  <si>
    <t>Fleet Management; Food and Beverage; Freight Service; Logistics; Supply Chain Management; Training; Transportation; Warehousing</t>
  </si>
  <si>
    <t>Steelcore</t>
  </si>
  <si>
    <t>steelcore</t>
  </si>
  <si>
    <t>9c50c397-11f9-4e2a-a51f-91686f48a69e</t>
  </si>
  <si>
    <t>Steelcore operates an online marketplace for military, tactical, outdoor, emergency, and first aid equipment.</t>
  </si>
  <si>
    <t>Steelcore operates an online marketplace focused on military, tactical, outdoor, and emergency equipment. The company sells plate carriers, vests, battle belts, pouches, ballistic protection, firearm accessories, and tactical clothing and footwear. It also offers survival gear, crisis-readiness kits, camping and hiking equipment, sleeping systems, backpacks, food and water solutions, and knives and tools. In addition, Steelcore provides medical and first aid products including tourniquets, pressure bandages, burn care, hemostatic dressings, trauma shears, and preconfigured medical kits. The platform aggregates products from numerous defence and outdoor brands and assembles proprietary Steelcore equipment bundles for combat, medical, crisis, and outdoor use. Customers include soldiers, reservists, defence league members, law enforcement personnel, and civilians preparing for emergencies and outdoor activities.</t>
  </si>
  <si>
    <t>https://www.steelcore.ee</t>
  </si>
  <si>
    <t>info@steelcore.ee</t>
  </si>
  <si>
    <t>+372 5308 7623</t>
  </si>
  <si>
    <t>Consumer Goods; E-Commerce; Emergency Medicine; Marketplace; Medical; Military; Retail; Security; Supply Chain Management</t>
  </si>
  <si>
    <t>Arukas Aruandlus</t>
  </si>
  <si>
    <t>arukas-aruandlus</t>
  </si>
  <si>
    <t>d7f9cab6-aec1-4804-94f7-625f5b0ca9b3</t>
  </si>
  <si>
    <t>Arukas Aruandlus provides customs clearance, trade statistics reporting, environmental compliance reports, ESG reporting and advisory.</t>
  </si>
  <si>
    <t>Arukas Aruandlus provides customs clearance and reporting services for businesses engaged in international trade. The company prepares import, export and transit declarations, origin certificates and vehicle import documentation, and communicates with customs authorities on behalf of clients. It produces Intrastat and other trade statistics reports, packaging and problem product reports, SPIM/CBAM statistics, and import and export price reports required by statistical and environmental regulators. Arukas Aruandlus also supports ESG and sustainability reporting, including creating ESG reports in line with frameworks such as CSRD, ESRS and VSME. Its team offers advisory services on reporting obligations, workplace safety documentation, risk analyses and responses to sustainability questionnaires from partners. The services are aimed at public and private sector organizations that need accurate, compliant and timely regulatory reporting and customs formalities.</t>
  </si>
  <si>
    <t>https://arukasaruandlus.ee</t>
  </si>
  <si>
    <t>info@toll.ee</t>
  </si>
  <si>
    <t>+372 655 0703</t>
  </si>
  <si>
    <t>Compliance; Consulting; Customer Service; Environmental Consulting; Logistics; Public Safety; Supply Chain Management; Sustainability</t>
  </si>
  <si>
    <t>iC Production O√ú</t>
  </si>
  <si>
    <t>ic-production-o√º</t>
  </si>
  <si>
    <t>36b03c3f-047f-4360-b6d3-80904c9de757</t>
  </si>
  <si>
    <t>iC Production provides on-site maintenance, repair, and optimization services for welding and other production equipment.</t>
  </si>
  <si>
    <t>iC Production provides maintenance, repair, and optimization services for welding and other production equipment. The company focuses on industrial machinery used in manufacturing, with an initial emphasis on welding units from various established brands. Its services include on-site annual maintenance, diagnostics, calibration, and corrective repair to address faults and wear. iC Production also performs broader production equipment optimization, combining inspections, adjustments, and component replacement to support continuous operation. In addition, it supplies consumables and spare parts matched to specific machines and maintenance programs. The company serves production operators that require structured checklists, preventive care, and equipment updates to sustain efficient factory processes.</t>
  </si>
  <si>
    <t>https://www.icpro.ee/</t>
  </si>
  <si>
    <t>info@icpro.ee</t>
  </si>
  <si>
    <t>+372 505 8357</t>
  </si>
  <si>
    <t>Industrial; Industrial Automation; Industrial Engineering; Manufacturing; Mechanical Engineering; Quality Assurance; Supply Chain Management</t>
  </si>
  <si>
    <t>GLOBAL MARKETPLACE SERVICES LTD</t>
  </si>
  <si>
    <t>global-marketplace-services-ltd</t>
  </si>
  <si>
    <t>3409dbb6-ac2f-483e-8792-a8d50bf0702d</t>
  </si>
  <si>
    <t>Global Marketplace Services provides ecommerce consultancy, marketplace onboarding, and multi-channel platform enablement services.</t>
  </si>
  <si>
    <t>Global Marketplace Services provides ecommerce consultancy focused on helping retailers and brands sell across online marketplaces and multi-channel commerce platforms. The company delivers marketplace onboarding services that configure listings, processes, and systems to meet marketplace requirements. It offers multi-channel platform enablement to centralize inventory, order management, and fulfillment across multiple sales channels. Its technical consultancy service addresses complex integrations, system configuration issues, and operational design for scalable marketplace operations. Global Marketplace Services also provides marketplace growth support through structured reviews, diagnostics, and optimization recommendations to improve ongoing performance. The company serves retailers, brands, marketplaces, technology providers, and agencies that require structured onboarding and operational support for marketplace commerce.</t>
  </si>
  <si>
    <t>https://www.linkedin.com/company/global-marketplace-services</t>
  </si>
  <si>
    <t>https://globalmarketplaceservices.com</t>
  </si>
  <si>
    <t>B2B; Consulting; E-Commerce; Enterprise Software; Marketing Automation; Marketplace; Retail; Sales; Software; Supply Chain Management</t>
  </si>
  <si>
    <t>Thornhill</t>
  </si>
  <si>
    <t>Belopt Logistics</t>
  </si>
  <si>
    <t>belopt-logistics</t>
  </si>
  <si>
    <t>fedb63e2-6359-4f6c-bd18-434f8de0bd9c</t>
  </si>
  <si>
    <t>Belopt Logistics provides international cargo transport, freight forwarding, warehousing, and customs management services.</t>
  </si>
  <si>
    <t>Belopt Logistics provides international cargo transport, forwarding, and supply chain management services for business customers. The company organizes freight consignments across trucking, container ocean freight, railway, and air transportation networks. It supports clients with development of supply chain strategy, routing design, and supply chain and logistics optimisation. Belopt Logistics offers warehousing and storage solutions integrated with distribution and inventory processing. The company also delivers customs-related services, including customs valuation, import and export declarations, audit support, and duty minimisation within legal frameworks. Its services are aimed at helping entrepreneurs and enterprises manage transport operations, regulatory formalities, and multi-country shipping requirements within a single logistics framework.</t>
  </si>
  <si>
    <t>https://belopt.eu/</t>
  </si>
  <si>
    <t>info@belopt.ee</t>
  </si>
  <si>
    <t>+372 5343 3888</t>
  </si>
  <si>
    <t>Air Transportation; Courier Service; Customer Service; Freight Service; Logistics; Railroad; Supply Chain Management; Transportation; Warehousing</t>
  </si>
  <si>
    <t>Osa√ºhing TEEMU-E</t>
  </si>
  <si>
    <t>osa√ºhing-teemu-e</t>
  </si>
  <si>
    <t>6a54d398-c37b-4e0e-96b9-55c81e0af167</t>
  </si>
  <si>
    <t>TEEMU-E is a wholesaler of construction fasteners, industrial hardware, tools, and e-commerce building supplies.</t>
  </si>
  <si>
    <t>TEEMU-E is a wholesaler of construction fasteners, industrial hardware, tools, and related building supplies. The company focuses on supplying screws, bolts, nuts, washers, anchors, dowels, timber connectors, and other structural brackets for professional building projects. Its assortment also covers nails, threaded rods, masonry fixings, sealants, foams, tapes, drills, cutting and grinding discs, and hand tools. TEEMU-E serves construction contractors, installers, and industrial customers through a warehouse store and an online shop. It offers order fulfillment for standard catalog items and supports bespoke orders for specialized fasteners and configurations. The company also provides surface coating services such as liquid and powder painting for small fastener components that require specific finishes. TEEMU-E sources products from partners in Europe and Asia to support a broad range of construction and renovation use cases.</t>
  </si>
  <si>
    <t>http://teemu.ee</t>
  </si>
  <si>
    <t>teemu@teemu.ee</t>
  </si>
  <si>
    <t>Building Material; Construction; E-Commerce; Industrial; Logistics; Manufacturing; Product Design; Retail; Supply Chain Management; Wholesale</t>
  </si>
  <si>
    <t>METMOV LLP</t>
  </si>
  <si>
    <t>metmov-llp</t>
  </si>
  <si>
    <t>90b67e7f-3550-4b8e-99bc-12984a150f2b</t>
  </si>
  <si>
    <t>MetMov provides operations and supply chain consulting services for founder-led and mid-sized enterprises.</t>
  </si>
  <si>
    <t>MetMov is an operations and supply chain consulting firm that serves founder-led and mid-sized enterprises. The company focuses on transforming daily operations from personality-driven models into structured corporate operating systems. It designs and implements functional frameworks across organizational layers to enable predictable scaling. Its services include structuring business processes, scaling supply chains, optimizing commercial structures, and refining governance frameworks. MetMov emphasizes practical execution systems such as decision-rights mapping, escalation gates, post-decision monitoring, and localized risk budgets. It works closely with businesses in multi-site manufacturing and logistics contexts to free leadership bandwidth and shift operational control to middle management while maintaining accountability.</t>
  </si>
  <si>
    <t>https://in.linkedin.com/company/metmov</t>
  </si>
  <si>
    <t>https://metmov.com/</t>
  </si>
  <si>
    <t>Business Intelligence; Business Process Automation (BPA); Commercial; Enterprise Software; Logistics; Management Consulting; Manufacturing; Supply Chain Management</t>
  </si>
  <si>
    <t>Bangalore</t>
  </si>
  <si>
    <t>MATCH LOCAL LTD</t>
  </si>
  <si>
    <t>match-local-ltd</t>
  </si>
  <si>
    <t>364a51d8-d6b3-422b-af6c-2ca9c9700545</t>
  </si>
  <si>
    <t>Match Local develops a circularity software platform that connects contractor resources with local community needs to evidence social value.</t>
  </si>
  <si>
    <t>Match Local develops business and domestic software that focuses on aligning corporate social value activities with community needs. The company offers a circularity platform that connects contractor capacities, such as surplus materials, skills, and time, to specific requirements recorded by local public entities and communities. Its software tracks and evidences social value contributions, helping users convert social value obligations into quantifiable outcomes. The platform emphasizes keeping construction materials in circular use, reducing waste, and improving the allocation of localized resources. Match Local targets construction and other industry sectors that manage social value commitments and wish to document their impact in a structured, auditable way. Its tools support ongoing relationships between companies and communities that extend beyond individual projects.</t>
  </si>
  <si>
    <t>https://matchlocal.co.uk/</t>
  </si>
  <si>
    <t>Analytics; Collaboration; Construction; Enterprise Software; Social Impact; Software; Supply Chain Management; Sustainability</t>
  </si>
  <si>
    <t>Plymouth</t>
  </si>
  <si>
    <t>Laotrans Kaubandus O√ú</t>
  </si>
  <si>
    <t>laotrans-kaubandus-o√º</t>
  </si>
  <si>
    <t>cc4b5051-603d-4f7e-b166-f5fbe86c1256</t>
  </si>
  <si>
    <t>Laotrans Kaubandus provides warehousing and storage services for public and commercial customers.</t>
  </si>
  <si>
    <t>Laotrans Kaubandus provides warehousing and storage services for public and commercial customers. The company focuses on offering storage space solutions, inventory handling, and related logistics support. Its operations center on managing stored goods efficiently and supporting clients with day-to-day stock management needs. Laotrans Kaubandus serves organizations that require third-party warehousing rather than maintaining their own storage facilities. The company emphasizes practical logistics support over broad online marketing, relying on direct client relationships. Its warehousing services are designed to support transport and logistics workflows by providing flexible storage capacity and handling services.</t>
  </si>
  <si>
    <t>http://www.laotrans.ee/</t>
  </si>
  <si>
    <t>info@laotrans.ee</t>
  </si>
  <si>
    <t>Business Process Automation (BPA); Commercial Real Estate; Industrial; Logistics; Supply Chain Management; Transportation; Warehousing</t>
  </si>
  <si>
    <t>IceWave Trade 2020</t>
  </si>
  <si>
    <t>icewave-trade-2020</t>
  </si>
  <si>
    <t>afca10cf-7b27-4b4c-a047-7b7f21bc068f</t>
  </si>
  <si>
    <t>IceWave Trade is a B2B wholesaler importing and exporting frozen and chilled raw meat products for industrial and wholesale clients.</t>
  </si>
  <si>
    <t>IceWave Trade is a B2B meat trading company that focuses on the wholesale of raw meat products. The company imports and exports frozen and chilled pork, beef, poultry, and veal cuts, supplying meat industries and wholesale distributors. Its products include items such as loins, tenderloins, trimmings, collars, shoulders, legs, striploin, bolar blade, topside, broiler fillet, thighs, wings, turkey thigh meat, and duck breast fillet. IceWave Trade distributes meat through cooperation partners in the European Union and serves customers worldwide. The company emphasizes continuous supply of controlled meat products that are suitable for further processing and bulk distribution.</t>
  </si>
  <si>
    <t>https://www.icewave.ee</t>
  </si>
  <si>
    <t>icewave@icewave.ee</t>
  </si>
  <si>
    <t>+372 5022088</t>
  </si>
  <si>
    <t>Agriculture; B2B; Food and Beverage; Food Processing; Logistics; Meat and Poultry; Supply Chain Management; Wholesale</t>
  </si>
  <si>
    <t>Miiduranna</t>
  </si>
  <si>
    <t>KRM Transport O√ú</t>
  </si>
  <si>
    <t>krm-transport-o√º</t>
  </si>
  <si>
    <t>4284e163-59f2-41c6-8eed-54846c03dc45</t>
  </si>
  <si>
    <t>KRM Transport provides international road freight forwarding with full truckload and less-than-truckload transport services.</t>
  </si>
  <si>
    <t>KRM Transport provides international road freight forwarding and logistics services focused on organizing road transport for commercial cargo. The company handles both full truckload and less-than-truckload shipments, coordinating door-to-door transport for diverse freight types. Its operations emphasize planning and managing regular international routes, including traffic to Central Europe and Scandinavia. KRM Transport works with subcontracted carriers that hold CMR insurance, and it maintains forwarding liability insurance to cover its activities. The company also advises customers on cargo insurance options, including carrier liability and separate cargo insurance policies for high-value loads. Its services are aimed at businesses seeking structured transport solutions and consolidated part-load shipping across European routes.</t>
  </si>
  <si>
    <t>https://www.krmtransport.ee/</t>
  </si>
  <si>
    <t>info@krmtransport.ee</t>
  </si>
  <si>
    <t>+372 5626 0012</t>
  </si>
  <si>
    <t>B2B; Commercial; Consulting; Freight Service; Insurance; Logistics; Supply Chain Management; Transportation</t>
  </si>
  <si>
    <t>Alatlƒ± Lojistik Ve G√ºmr√ºk M√º≈üavirliƒüi</t>
  </si>
  <si>
    <t>alatlƒ±-lojistik-ve-g√ºmr√ºk-m√º≈üavirliƒüi</t>
  </si>
  <si>
    <t>9004d066-1bc2-429a-a7a5-de47fdf078e9</t>
  </si>
  <si>
    <t>Alatlƒ± Global Lojistik ve G√ºmr√ºk M√º≈üavirliƒüi A.≈û. provides customs consultancy, international logistics, road, sea and air freight services.</t>
  </si>
  <si>
    <t>Alatlƒ± Global Lojistik ve G√ºmr√ºk M√º≈üavirliƒüi A.≈û. provides customs consultancy and international logistics services. The company offers import and export customs clearance, transit and postal customs procedures, and handling of exemptions and returns. It operates road, sea and air freight services including FTL, LTL, project and container transport across multiple countries. Alatlƒ± also offers bonded and non-bonded warehousing in Gebze with high-rack systems and consolidation, packaging and labeling operations. The firm serves sectors such as iron and steel, chemicals, fertilizer, packaging, glass, construction, automotive and textiles, and runs offices in several Turkish cities as well as London and Plovdiv.</t>
  </si>
  <si>
    <t>https://www.linkedin.com/company/alatli-logistics</t>
  </si>
  <si>
    <t>https://www.alatli.com</t>
  </si>
  <si>
    <t>info@alatli.com</t>
  </si>
  <si>
    <t>+90 0850 440 47 10</t>
  </si>
  <si>
    <t>Tuzla</t>
  </si>
  <si>
    <t>TradeAventus</t>
  </si>
  <si>
    <t>tradeaventus</t>
  </si>
  <si>
    <t>13982906-432c-4503-a7f3-127b50886ace</t>
  </si>
  <si>
    <t>B2B trade platform connecting verified Indian suppliers with European buyers across 12 industrial sectors. Munich-based.</t>
  </si>
  <si>
    <t>TradeAventus is a Munich-based B2B trade platform connecting verified Indian suppliers with European buyers and European suppliers with Indian buyers across 12 industrial sectors. Founded in 2025, the platform is positioned around the EU-India Free Trade Agreement and replaces paid visibility with earned verification tiers. The platform covers machinery, automotive components, pharmaceuticals, textiles, chemicals, IT services, agriculture, renewable energy, gems and jewelry, leather, steel and metals, and electronics. Verification tiers replace paid placement, addressing the trust gap in cross-border B2B sourcing. The EU-India Free Trade Agreement was concluded in January 2026 and is in ratification. The EU Carbon Border Adjustment Mechanism has been live since 1 January 2026.</t>
  </si>
  <si>
    <t>https://www.linkedin.com/company/tradeaventus</t>
  </si>
  <si>
    <t>https://tradeaventus.com</t>
  </si>
  <si>
    <t>contact@tradeaventus.com</t>
  </si>
  <si>
    <t>B2B; E-Commerce; Marketplace; Supply Chain Management</t>
  </si>
  <si>
    <t>Munich</t>
  </si>
  <si>
    <t>Luminovo</t>
  </si>
  <si>
    <t>luminovo</t>
  </si>
  <si>
    <t>854e8951-7fea-4311-9fa2-bc573180caeb</t>
  </si>
  <si>
    <t>Luminovo's electronics supply chain platform automates procurement &amp; quoting processes and allows for collaboration &amp; data-driven insights.</t>
  </si>
  <si>
    <t>Luminovo is your copilot for the electronics supply chain.  Electronics designers get supply chain insights for their designs, run strategic procurement in a data-driven way, and gain transparency across demands and inventory. Electronics manufacturers can automate their quoting and procurement processes and unleash a digital portal for supply chain collaboration. This allows for faster, cheaper, and more sustainable product development.</t>
  </si>
  <si>
    <t>https://www.linkedin.com/company/luminovo/</t>
  </si>
  <si>
    <t>http://www.luminovo.com</t>
  </si>
  <si>
    <t>hello@luminovo.com</t>
  </si>
  <si>
    <t>Sebastian Schaal; Timon Ruban</t>
  </si>
  <si>
    <t>Electronics; SaaS; Software</t>
  </si>
  <si>
    <t>engineering; finance; management; marketing; operations; product; sales; support</t>
  </si>
  <si>
    <t>BOX ID Systems</t>
  </si>
  <si>
    <t>box-id-systems</t>
  </si>
  <si>
    <t>fe9ce85f-e83e-437b-a7f6-698be538c233</t>
  </si>
  <si>
    <t>Supply Chain Visibility SaaS Platform specialized in Process Monitoring &amp; Conformity Analytics</t>
  </si>
  <si>
    <t>BOX ID Systems develops and offers an end-to-end location &amp; process mining solution to cost effectively track millions of logistics assets digitally throughout the industrial supply chain across Europe and the World - including site-to-site, on-premises and indoor buildings digital twin of supply chain processes. The system is built on a specialized analytics software platform, sensorik tracking devices and efficient data-, device- and user-management tools, including functions to support process automation and optimization. Industrial and automotive production customers benefit from making their logistics processes more efficient and cost optimized, with 100% transparency within their critical processes throughout the entire supply chain.</t>
  </si>
  <si>
    <t>https://www.linkedin.com/company/box-id/</t>
  </si>
  <si>
    <t>https://www.box-id.com/</t>
  </si>
  <si>
    <t>info@box-id.com</t>
  </si>
  <si>
    <t>0049-892-190-973-60</t>
  </si>
  <si>
    <t>Dominik Buchinger; Shawn Silberhorn; Wolfgang Vogl</t>
  </si>
  <si>
    <t>Automotive; Enterprise Software; Industrial; Information Technology; Internet of Things; Manufacturing; SaaS; Software; Supply Chain Management</t>
  </si>
  <si>
    <t>engineering; management; marketing; operations; sales</t>
  </si>
  <si>
    <t>eCozy</t>
  </si>
  <si>
    <t>ecozy</t>
  </si>
  <si>
    <t>d1c91739-0aad-83e0-a6c5-ae7b2d3af297</t>
  </si>
  <si>
    <t>Your frictionless smart heating experience.</t>
  </si>
  <si>
    <t>eCozy GmbH is a Germany-based Smart Home electronics development company founded in 2013 with a mission ‚Äì to make heating thermostats easy, modern-looking and intelligent. The team has proven it can successfully bring a vision and product concept to a volume production for complex Smart Home hardware &amp; software products and services.  The Management is based in Germany and its Engineering Team is based in Germany and Lithuania, assuring high-quality, cost-effective and fast product development. In-house competences include design, hardware and software development and testing, global sourcing, supply chain management, as well as outsourced manufacturing, certification, quality assurance and global logistics.  Products have won over 9 awards, are covered by technology and design patents and received interest from leading Smart Heating and Smart Home players in Europe. Initially focused on smart thermostat solutions, the team has broadened its scope into Smart Home solutions with its unique competences and (patented) technology that is able to integrate legacy home appliances into the Smart Home environment.  The management believes it can exploit its strengths most optimally in cooperation with a global as part of a larger company with established market access, whtich isbut looking for a well-established engineering and product management organisation to expand into the Smart Home sector quickly. For companies considering a make-or-buy decision to enter this space, cooperation with eCozy could be an attractive acquisition option, to substantially shorten time-to-market, avoid a steep and risky learning curve and maintain independence from 3rd parties. Facts &amp; Figures: - Experienced, highly-motivated management team of 3 German-based managers with a global partner network - Development team of hardware and software experts with established processes and proven track-record to design, develop, certify and manufacture complete state-of-the-art Smart Home solutions - Market traction batch of 3000 units successfully sold out - 2015 RedDot Design Award - Design and Technology Patent - Distribution Network with over 7 partners - Based on Customer feedback, technology is analysed, improved and de-risked - Competitively strong features and roadmap extension concepts ready</t>
  </si>
  <si>
    <t>http://www.linkedin.com/company/ecozy</t>
  </si>
  <si>
    <t>https://ecozy.de</t>
  </si>
  <si>
    <t>andre@ecozy.de</t>
  </si>
  <si>
    <t>Andre Kholodov</t>
  </si>
  <si>
    <t>Clean Energy; Hardware; Intelligent Systems; Internet of Things; Smart Building; Software</t>
  </si>
  <si>
    <t>bobbie</t>
  </si>
  <si>
    <t>bobbie-145a</t>
  </si>
  <si>
    <t>0ae03132-aa0d-4ba8-9340-3f3fab11145a</t>
  </si>
  <si>
    <t>bobbie is the disruptive construction materials procurement platform for large tenders.</t>
  </si>
  <si>
    <t>bobbie is reshaping the construction industry with digital procurement and champions transparency and technology innovation. Streamlining procurement and integrating our vision of radical transparency into every step of the design process, we are enabling the construction industry to embrace the 21st century.  The long form: bobbie is the disruptive construction materials procurement platform for large tenders. ‚ÄúMade in Germany‚Äù, bobbie is transforming the construction industry by leveraging deep industry experience and advanced technologies such as artificial intelligence, natural language processing, and process automation to optimize procurement of construction materials at scale.  Through committing to radical price transparency to all process stakeholders, bobbie is challenging the status quo of the construction industry. Operating without holding any inventory, bobbie serves as a direct link between manufacturers and customers, providing a reliable, innovative and transparent alternative to traditional construction materials traders. With substantially lower procurement costs and a seamless, connected and accelerated process, the construction industry is ready for the demands of the 21st century.  But: bobbie‚Äôs vision for bringing transparency to the construction industry stretches even further: Seamlessly connecting crucial ConTech innovations, bobbie is co-innovating on an innovative, industry-wide slip-solution based on open standards. No information is lost in translation, and every stakeholder has real-time access to accurate, consistent information. All of this leads up to the next generation of Building Information Modeling (BIM): bobbie envisions an integrated 6D BIM - a process that incorporates lifecycle data, purchasing and operational costs as well as sustainability aspects into the design process, providing a complete overview of an object‚Äôs lifecycle, from conception to demolition in bobbie‚Äôs platform. This not only leads to more efficient object designs but also promotes sustainable practices by considering environmental impacts throughout the lifespan of a project or object.</t>
  </si>
  <si>
    <t>https://www.linkedin.com/company/bobbie-deutschland/</t>
  </si>
  <si>
    <t>https://www.bobbie.de</t>
  </si>
  <si>
    <t>info@bobbie.de</t>
  </si>
  <si>
    <t>Alexander Gran; Tim Kuhlmann</t>
  </si>
  <si>
    <t>B2B; Construction; E-Commerce Platforms; Procurement; Supply Chain Management</t>
  </si>
  <si>
    <t>finance; information_technology; management; sales</t>
  </si>
  <si>
    <t>3dTrust</t>
  </si>
  <si>
    <t>3dtrust</t>
  </si>
  <si>
    <t>620ffbdb-fee6-35fc-5870-796284637856</t>
  </si>
  <si>
    <t>3dTrust helps companies integrate 3D printing in their supply chain.</t>
  </si>
  <si>
    <t>3dTrust helps companies integrate 3D printing in their supply chain. With the development of 3D printing current supply chains will be disrupted; goods will no longer be shipped as physical objects anymore but will more and more be exchanged as digital files until being produced locally by subsidiaries, partners or customers equipped with a 3D printer. This transformation creates new opportunities regarding production and supply chain organization as well as intellectual property protection.</t>
  </si>
  <si>
    <t>https://www.linkedin.com/company/3dtrust</t>
  </si>
  <si>
    <t>http://3dtrust.de</t>
  </si>
  <si>
    <t>contact@3dtrust.de</t>
  </si>
  <si>
    <t>Alexandre Gu√©rin; Andrei Mituca; Antoine Jeol</t>
  </si>
  <si>
    <t>3D Printing; Industrial Manufacturing; Manufacturing; Software</t>
  </si>
  <si>
    <t>blik</t>
  </si>
  <si>
    <t>3e1a381d-45a8-94e4-5234-e5821a61ff89</t>
  </si>
  <si>
    <t>blik provides process optimisation in real-time with live data in logistics. blik connects smart industry sensors to a Big Data backend.</t>
  </si>
  <si>
    <t>blik provides a digital twin to track items in real-time, eliminating all blind spots in the supply-chain. Compared to existing technologies, it enables tracking for several years with very reduced infrastructure and without any agent interaction. This makes it the easiest method to constantly monitor and optimize the flow of goods. The unique technological focus enables reliable tracking of thousands of items at the same time, enabling customers to eliminate all manual identifications and therefore drastically cutting costs in their entire supply-chain.</t>
  </si>
  <si>
    <t>https://www.linkedin.com/company/blik.io/</t>
  </si>
  <si>
    <t>https://www.blik.io</t>
  </si>
  <si>
    <t>info@blik.io</t>
  </si>
  <si>
    <t>Bastian Burger; Philip Eller; Victoria Hauzeneder</t>
  </si>
  <si>
    <t>Analytics; Internet of Things; Logistics; Predictive Analytics; Real Time; Service Industry; Supply Chain Management</t>
  </si>
  <si>
    <t>Sevenoir</t>
  </si>
  <si>
    <t>sevenoir</t>
  </si>
  <si>
    <t>a5db2121-ea91-4455-b3ef-76623657f635</t>
  </si>
  <si>
    <t>Global identity layer for physical assets</t>
  </si>
  <si>
    <t>Sevenoir is building the global identity layer for physical assets, starting with aviation baggage and high-value assets. Today, aviation tracking is event-based, fragmented, and unreliable, contributing to millions of mishandled bags annually. Sevenoir creates a maintenance-free digital identity for every asset through hybrid UHF, NFC, and QR technology, secured by a blockchain-verified audit trail. The platform enables real-time synchronization between airlines, airports, insurers, and passengers, improving recovery, asset visibility, and future programmatic insurance infrastructure. Sevenoir‚Äôs mission is to move physical asset tracking from probabilistic updates to deterministic identity.</t>
  </si>
  <si>
    <t>https://uk.linkedin.com/company/sevenoir</t>
  </si>
  <si>
    <t>https://www.sevenoir.com/</t>
  </si>
  <si>
    <t>sevenoir@proton.me</t>
  </si>
  <si>
    <t>Ruhlan Jafarli</t>
  </si>
  <si>
    <t>Asset Management; B2B; Blockchain; Enterprise Software; Identity Management; InsurTech; Internet of Things; Logistics; SaaS; Supply Chain Management</t>
  </si>
  <si>
    <t>Ecosio</t>
  </si>
  <si>
    <t>ecosio</t>
  </si>
  <si>
    <t>76423a87-9d14-32e8-71ef-29d4cb2a3560</t>
  </si>
  <si>
    <t>Ecosio is a provider of electronic data interchange EDI services.</t>
  </si>
  <si>
    <t>ecosio is an EDI solution provider that helps businesses of all sizes prepare for Industry 4.0 and flexible supply chain management, as well as optimize their business operations continuously.</t>
  </si>
  <si>
    <t>https://www.linkedin.com/company/ecosio---business-interchange</t>
  </si>
  <si>
    <t>https://ecosio.com/en/</t>
  </si>
  <si>
    <t>Marco Zapletal; Philipp Liegl</t>
  </si>
  <si>
    <t>Data Center Automation; Data Integration</t>
  </si>
  <si>
    <t>engineering; information_technology; legal; management; operations; pro_services; sales</t>
  </si>
  <si>
    <t>EFESO Management Consultants</t>
  </si>
  <si>
    <t>roi-efeso</t>
  </si>
  <si>
    <t>e91c9b22-dd80-4fb0-832f-a3ed5cc7fdcb</t>
  </si>
  <si>
    <t>EFESO Management Consultants helps reduce costs in the supply chain and make processes and technologies flexible.</t>
  </si>
  <si>
    <t>ROI‚â°EFESO is a management consultancy company that helps manufacturing companies reduce costs in the supply chain, accelerate the innovation cycle, and make organization, processes, and technologies flexible. It utilizes Industry 4.0 and IIoT technologies to align processes in a customer-oriented manner, to realize efficiency potentials, and to enable new business models. ROI-EFESO's work is regularly recognized for its quality of results, efficiency, and degree of innovation. Since 2013, ROI-EFESO has been giving the renowned Industry 4.0 Award to companies that implement pioneering projects in the areas of smart factories and smart supply chains.</t>
  </si>
  <si>
    <t>https://www.linkedin.com/company/roi-efeso/</t>
  </si>
  <si>
    <t>https://www.roi.de/</t>
  </si>
  <si>
    <t>contact@roi.de</t>
  </si>
  <si>
    <t>+49 89 1215 90-0</t>
  </si>
  <si>
    <t>Advice; Consulting; Management Consulting</t>
  </si>
  <si>
    <t>Logivations</t>
  </si>
  <si>
    <t>logivations</t>
  </si>
  <si>
    <t>db759e2e-09e4-4d9c-b85d-a7af3e83c9aa</t>
  </si>
  <si>
    <t>Logivations helps companies of all industries to improve their competitiveness and efficiency through innovative Logistics concepts.</t>
  </si>
  <si>
    <t>Logivations is an international consulting and cloud computing company with headquarters in Munich. Many well-known German and international customers trust in the holistic approach by Logivations and W2MO - Supply chain, location planning, optimization and Deep Machine Learning - integrated in one solution.</t>
  </si>
  <si>
    <t>https://www.linkedin.com/company/1236608/</t>
  </si>
  <si>
    <t>https://www.logivations.com/en</t>
  </si>
  <si>
    <t>example@example.example</t>
  </si>
  <si>
    <t>89 21909750</t>
  </si>
  <si>
    <t>Christoph Plapp</t>
  </si>
  <si>
    <t>engineering</t>
  </si>
  <si>
    <t>Spanflug</t>
  </si>
  <si>
    <t>spanflug</t>
  </si>
  <si>
    <t>79cb7d22-f36b-4c8e-aca3-4959eb2baed2</t>
  </si>
  <si>
    <t>Online manufacturer offering instant pricing for custom cnc machined parts</t>
  </si>
  <si>
    <t>Spanflug is an online manufacturer offering instant pricing for custom CNC machined parts based on an CAD file. The time from the inquiry to the customer order is reduced from several days to one minute. This does not only enable our customers to make their purchasing as fast and efficient as possible, it also reduces the sales effort of our manufacturing partners to a minimum. The offer includes CNC turning and milling.  The goal of the company, which was founded in January 2018, is to make the often time-consuming and resource-intensive bidding process for CNC turned and milled parts as quick and easy as possible for both customers and suppliers, and to advance the digitization of the manufacturing industry in the field of CNC turning and milling. Spanflug is a spin-off from the Institute for Machine Tools and Industrial Management (iwb) of the Technical University of Munich (TUM).</t>
  </si>
  <si>
    <t>https://www.linkedin.com/company/spanflug</t>
  </si>
  <si>
    <t>https://spanflug.de</t>
  </si>
  <si>
    <t>info@spanflug.de</t>
  </si>
  <si>
    <t>+49 89 215554380</t>
  </si>
  <si>
    <t>Adrian Lewis; Johannes Schmalz; Markus Westermeier</t>
  </si>
  <si>
    <t>E-Commerce; Information Technology; Machinery Manufacturing; Manufacturing; Supply Chain Management</t>
  </si>
  <si>
    <t>finance; information_technology; management; marketing; operations; sales</t>
  </si>
  <si>
    <t>Noyes technologies</t>
  </si>
  <si>
    <t>noyes-technologies</t>
  </si>
  <si>
    <t>7dc0114b-0198-4395-aa96-76e283f5c0d0</t>
  </si>
  <si>
    <t>Noyes Technologies is in the process of automating urban storage areas with a robot-operated, ultra-dense, and micro warehouse.</t>
  </si>
  <si>
    <t>Noyes Technologies is a logistics and supply chain services company.¬†They provide services that include logistics, robotics, warehouse automation, nano fulfillment, warehouse solutions, and urban fulfillment. Their customers' inquiries are addressed through phone, email, and online applications.</t>
  </si>
  <si>
    <t>https://www.linkedin.com/company/noyestech/?originalSubdomain=de</t>
  </si>
  <si>
    <t>http://noyes-tech.com/</t>
  </si>
  <si>
    <t>info@noyes-tech.com</t>
  </si>
  <si>
    <t>Aaron Spiegelburg; Marco Pr√ºglmeier</t>
  </si>
  <si>
    <t>Robotics; Warehouse Automation</t>
  </si>
  <si>
    <t>engineering; management; sales</t>
  </si>
  <si>
    <t>tiramizoo GmbH</t>
  </si>
  <si>
    <t>tiramizoo</t>
  </si>
  <si>
    <t>fb841aa7-2ace-3920-07dc-83c874a80e13</t>
  </si>
  <si>
    <t>Tiramizoo optimises Last Mile Deliveries. The SaaS-platform is applicable worldwide and ensures optimale usage of resources.</t>
  </si>
  <si>
    <t>tiramizoo GmbH offers a SaaS-platform for last mile logistics; headquartered in Munich, Germany. Two business units are based on the unique tiramizoo-platform: The ‚ÄúTransport Management System for urban logistics‚Äù (TMS) and the ‚ÄúSmart City Application‚Äù. The TMS manages and optimises deliveries and tasks, whereas the Smart City Application optimises commuter flows and the utilisation of public transports. At the heart of tiramizoo‚Äôs platform is the proprietary algorithm for calculating most efficient routes and the most efficient utilisation of assets. The algorithm is unique in its capability to calculate thousands of orders/moves in a fast and reliable way by taking into account urban constraints. The platform has been used not only in Central Europe but also in Southeast Asia, e.g. Philippines, Singapore and Malaysia. tiramizoo‚Äôs customers include fleet operators, retailers, logistics companies, and smart cities.</t>
  </si>
  <si>
    <t>https://www.linkedin.com/company/tiramizoo/mycompany/?viewAsMember=true</t>
  </si>
  <si>
    <t>https://www.tiramizoo.com/</t>
  </si>
  <si>
    <t>marketing@tiramizoo.com</t>
  </si>
  <si>
    <t>Michael Lohr; Philipp Walz; Volker Schneider; William Fu Wei Liao</t>
  </si>
  <si>
    <t>Courier Service; Field Support; Fleet Management; Last Mile Transportation; Logistics; Same Day Delivery; Software; Supply Chain Management</t>
  </si>
  <si>
    <t>XOLUTION</t>
  </si>
  <si>
    <t>xolution</t>
  </si>
  <si>
    <t>67295517-d065-a311-1e31-86b2a91b330b</t>
  </si>
  <si>
    <t>XO is a new solution, turning traditional cans into resealable cans.</t>
  </si>
  <si>
    <t>XOLUTION is the most advanced reclosable beverage container solution. Already in its prototype state, the new XO resealable can won the Can of the Year Award in Dubai in 2009 (Winner Silver - Category Prototype) and was enhanced and refined since, involving extensive market research and field testing. With the can now entering the consumer beverage market, they are confident that the product resembles a step forward for XOLUTION in becoming the market leader in this field.  XOLUTION GmbH is headquartered in Munich, Germany. In 2008, Marc von Rettberg was named Chief Executive of the company. He joined Christian Bratsch, Vice President R&amp;D, to introduce innovative designs to the beverage packaging industry for reclosable beverage cans. Rettberg and Bratsch established new product design guidelines with a clear focus on values and benefits for the entire supply chain. The innovative beverage can ends were required to offer easy usage to the consumer (intuitive, easy to open and reseal), easy integration for the beverage filler in the existing processes (no major adjustments to the filling line), easy handling for the can maker (XO reclosable can ends based on standard shells), and improved commercialization for the beverage brand (unique branding options). And, of course, the focus was set on providing these benefits at a reasonable overall cost. In 2009, Can Maker Magazine recognized the XOLUTION innovative resealable can with the Silver Award in the Prototype category for the XO-400 reclosable beverage can lid. Since Time-to-Market is a key challenge for all innovators, Rettberg and Bratsch have created a competitive advantage of rapid prototyping and testing capabilities in their Salzburg R&amp;D Center.  XOLUTION GmbH is managed by one of the most competent teams in the business. With long-term experiences in their respective fields, their leading specialists guarantee the best coverage of all business areas from prototyping, R&amp;D and product management to trading and distribution. With their knowledge, the XO Resealable Can was successfully converted from a simple vision to a technologically sophisticated product that will have a significant influence on the canned beverage market.</t>
  </si>
  <si>
    <t>https://www.linkedin.com/company/xolution-gmbh</t>
  </si>
  <si>
    <t>http://www.xolution.com</t>
  </si>
  <si>
    <t>info@xolution.com</t>
  </si>
  <si>
    <t>+49 (89) 628 3299-0</t>
  </si>
  <si>
    <t>Marc Von Rettberg</t>
  </si>
  <si>
    <t>Food and Beverage; Manufacturing; Packaging Services</t>
  </si>
  <si>
    <t>Virtual Chip Exchange</t>
  </si>
  <si>
    <t>virtual-chip-exchange</t>
  </si>
  <si>
    <t>6cfacfda-fd16-4b93-b6da-0fd62ec4e521</t>
  </si>
  <si>
    <t>Virtual Chip Exchange is an OEM-based e-commerce website for trading semiconductors.</t>
  </si>
  <si>
    <t>Virtual Chip Exchange is an OEM/EMS member-based trading platform for electronic components. They offer fully traceable parts from one OEM to another, thus shortening the supply chain.</t>
  </si>
  <si>
    <t>https://www.linkedin.com/company/vce-virtual-chip-exchange-inc---virtualchip-com</t>
  </si>
  <si>
    <t>https://virtualchip.com</t>
  </si>
  <si>
    <t>info@virtualchip.com</t>
  </si>
  <si>
    <t>+49 893 407 6195</t>
  </si>
  <si>
    <t>E-Commerce; Electronics; Semiconductor; Trading Platform</t>
  </si>
  <si>
    <t>InfinitiBit GmbH</t>
  </si>
  <si>
    <t>infinitibit-gmbh</t>
  </si>
  <si>
    <t>53b2e16e-4d44-4e41-a9e1-3c00218f01a2</t>
  </si>
  <si>
    <t>InfinitiBit GmbH is a Munich-based software engineering and consulting company founded in 2023.</t>
  </si>
  <si>
    <t>InfinitiBit GmbH is a Munich-based software engineering and consulting company founded in 2023. The firm specializes in enterprise digital transformation including PLM (Product Lifecycle Management), ALM (Application Lifecycle Management), process mining, and AI/agent-based solutions. InfinitiBit is ISO 27001 and TISAX certified, serves industrial sectors such as automotive, manufacturing, supply chain, and works globally with teams in Germany and Bangladesh.</t>
  </si>
  <si>
    <t>https://www.linkedin.com/company/infinitibit-gmbh/</t>
  </si>
  <si>
    <t>https://www.infinitibit.com/</t>
  </si>
  <si>
    <t>info@infinitibit.com</t>
  </si>
  <si>
    <t>+49 89 23788798</t>
  </si>
  <si>
    <t>Musa Molla</t>
  </si>
  <si>
    <t>Artificial Intelligence (AI); DevOps; Enterprise Software; Information Technology; Machine Learning; Software; Software Engineering</t>
  </si>
  <si>
    <t>Keepoala</t>
  </si>
  <si>
    <t>keepoala</t>
  </si>
  <si>
    <t>d33df48c-326a-46df-b572-5c9a6173027f</t>
  </si>
  <si>
    <t>The leading community for online shoppers to reduce their return volumes and carbon footprint and thereby receiving great rewards.</t>
  </si>
  <si>
    <t>Sustainable management of returns for e-commerce, online shoppers and the environment!  With our dedicated app and community, a more conscious approach to deal with the impact of returns by tracking your own online shopping behavior is targeted. Therefore, each shopper is motivated to reduce their carbon footprint and thereby receiving great rewards by avoiding returns. Participating shops and brands lower return costs and increase the EBIT margin through better data transparency and happier customers. Keepoala strives for becoming the green seal of trust for the whole e-commerce industry to promote its ambition in reducing return volumes, waste and CO2, establishing a sustainable supply chain.</t>
  </si>
  <si>
    <t>https://www.linkedin.com/company/keepoala</t>
  </si>
  <si>
    <t>https://www.keepoala.com</t>
  </si>
  <si>
    <t>info@keepoala.com</t>
  </si>
  <si>
    <t>Apps; E-Commerce; Fashion; Information Technology; Internet; Retail</t>
  </si>
  <si>
    <t>CargoGuard</t>
  </si>
  <si>
    <t>cargoguard</t>
  </si>
  <si>
    <t>f21a5361-4c53-a1eb-b55a-b1c64f2ca5de</t>
  </si>
  <si>
    <t>The CargoGuard system is a technical solution to protect valuable goods and classified documents during transportation and storage.</t>
  </si>
  <si>
    <t>The CargoGuard system is a unique and advanced technical solution to protect valuable goods, high-end products or confidential and classified documents against the risks of loss, theft, spying and manipulation during transportation and storage. CargoGuard enables logistic companies, manufacturers, authorities and governments to safeguard the handling of valuable goods or sensitive documents from person-to-person across all gaps of an intermodal supply chain.</t>
  </si>
  <si>
    <t>https://www.linkedin.com/company/cargoguard</t>
  </si>
  <si>
    <t>http://www.cargoguard.com</t>
  </si>
  <si>
    <t>contact@cargoguard.com</t>
  </si>
  <si>
    <t>+49 8091 14600</t>
  </si>
  <si>
    <t>Thomas Wilde</t>
  </si>
  <si>
    <t>Automotive; Insurance; Logistics; Manufacturing</t>
  </si>
  <si>
    <t>NextUp</t>
  </si>
  <si>
    <t>nextup-5239</t>
  </si>
  <si>
    <t>6b6cc4bb-1ed2-4814-827b-b63bdd9e5239</t>
  </si>
  <si>
    <t>NextUp offers IT consulting and security needs analysis.</t>
  </si>
  <si>
    <t>NextUp offers analyze, conceptualize, implement, support, and post-process IT supply chain. They also provides services of IT consulting, security needs analysis, external administration, remote maintenance, IT security and system monitoring.</t>
  </si>
  <si>
    <t>http://www.next-up.de</t>
  </si>
  <si>
    <t>info@next-up.de</t>
  </si>
  <si>
    <t>+49  089 288 133 0</t>
  </si>
  <si>
    <t>Consulting; Customer Service; Security</t>
  </si>
  <si>
    <t>information_technology</t>
  </si>
  <si>
    <t>Byprotex GmbH</t>
  </si>
  <si>
    <t>byprotex-gmbh</t>
  </si>
  <si>
    <t>0346f7f8-dc9b-4726-a8be-b3491922e9d6</t>
  </si>
  <si>
    <t>B2B marketplace for trading animal by-products and plant-based materials.</t>
  </si>
  <si>
    <t>The AgTech company Byprotex is a digital and independent B2B marketplace for trading animal by-products and plant-based materials. Target products include protein meals and fats from processed animal (incl. fish) blood, organs, bones which are not fit for human consumption, used cooking oil as well as milk proteins, whey products, plant extracts, etc.   Processed protein powder and fats are an important input factor for pet food, animal and fish feed, oleochemicals, fertilizers, biofuels and energy production.</t>
  </si>
  <si>
    <t>https://www.linkedin.com/company/byprotex/</t>
  </si>
  <si>
    <t>https://www.byprotex.com/</t>
  </si>
  <si>
    <t>Info@byprotex.com</t>
  </si>
  <si>
    <t>Andi Wieser</t>
  </si>
  <si>
    <t>AgTech; Animal Feed; B2B; Biofuel; Marketplace; Supply Chain Management; Sustainability; Trading Platform; Waste Management</t>
  </si>
  <si>
    <t>VCS</t>
  </si>
  <si>
    <t>vcs</t>
  </si>
  <si>
    <t>17bbc934-9032-4e95-9e27-4ac4e22fb82c</t>
  </si>
  <si>
    <t>VCS provides channel management services.</t>
  </si>
  <si>
    <t>https://www.linkedin.com/company/value-chain-solutions-gmbh/</t>
  </si>
  <si>
    <t>https://valuechainsolutions.de/</t>
  </si>
  <si>
    <t>info@valuechainsolutions.de</t>
  </si>
  <si>
    <t>49 89 12228340</t>
  </si>
  <si>
    <t>Grocera</t>
  </si>
  <si>
    <t>grocera-40af</t>
  </si>
  <si>
    <t>6ff32e4e-826f-4552-852c-071c6d4a40af</t>
  </si>
  <si>
    <t>Same day multi cultural grocery delivery service</t>
  </si>
  <si>
    <t>https://www.linkedin.com/company/grocera-delivery/</t>
  </si>
  <si>
    <t>https://grocera.de/</t>
  </si>
  <si>
    <t>support@grocera.de</t>
  </si>
  <si>
    <t>+49 176 30135775</t>
  </si>
  <si>
    <t>E-Commerce; Food and Beverage; Retail; Software; Supply Chain Management</t>
  </si>
  <si>
    <t>SEIA</t>
  </si>
  <si>
    <t>seia-84be</t>
  </si>
  <si>
    <t>9fcc59d3-b08e-4053-a1f3-dbe1f1bd84be</t>
  </si>
  <si>
    <t>SEIA provides data analytics software and services for trade compliance risk management and monitoring.</t>
  </si>
  <si>
    <t>SEIA provides data analytics software and related services focused on trade compliance risk management. The company offers PERCEIVE, a trade compliance assurance layer that analyzes holistic business and transactional data to detect red flags, assess regulatory risks, and support continuous internal monitoring. Its solutions address areas such as export controls, sanctions, customs and import restrictions, and supply chain and ESG risks. SEIA delivers specialized modules like PERCEIVE for Customs to validate tariff classifications, values, and origins and to prioritize high‚Äërisk declarations. It also provides incident response analytics, customized data analytics solutions for government agencies, and red flag assessments based on actual transactional data. In addition, SEIA offers specialized trade compliance training and keynote sessions for corporate and institutional clients.</t>
  </si>
  <si>
    <t>https://www.linkedin.com/company/seia-tech</t>
  </si>
  <si>
    <t>https://www.seiatech.com</t>
  </si>
  <si>
    <t>contact@seiatech.com</t>
  </si>
  <si>
    <t>+49 162 748 7487</t>
  </si>
  <si>
    <t>Analytics; Business Intelligence; Compliance; Data Visualization; Risk Management; Software</t>
  </si>
  <si>
    <t>information_technology; management; operations</t>
  </si>
  <si>
    <t>Jobkey</t>
  </si>
  <si>
    <t>jobkey-c665</t>
  </si>
  <si>
    <t>0907aa39-109e-4c35-b66b-1e0c9ac1c665</t>
  </si>
  <si>
    <t>Jobkey is a workforce-as-a-service platform.</t>
  </si>
  <si>
    <t>Jobkey is a workforce-as-a-service platform. The AI-powered platform enables more transparent and effective communication between enterprises and the supply chain.</t>
  </si>
  <si>
    <t>https://www.linkedin.com/company/jobkey</t>
  </si>
  <si>
    <t>https://www.jobkey.eu</t>
  </si>
  <si>
    <t>Recruiting; Software; Web Development</t>
  </si>
  <si>
    <t>Maccon</t>
  </si>
  <si>
    <t>maccon</t>
  </si>
  <si>
    <t>5b775bb3-c3e3-44ae-b9ae-b9834906c7c0</t>
  </si>
  <si>
    <t>Maccon is a distribution company that supplies drive electronics, custom engines, CAE software, torque, and linear motor products.</t>
  </si>
  <si>
    <t>https://www.linkedin.com/company/maccon-gmbh/</t>
  </si>
  <si>
    <t>https://www.maccon.de</t>
  </si>
  <si>
    <t>sales@maccon.de</t>
  </si>
  <si>
    <t>Electronics; Supply Chain Management; Wholesale</t>
  </si>
  <si>
    <t>SecureSystem</t>
  </si>
  <si>
    <t>securesystem</t>
  </si>
  <si>
    <t>10f61ec0-75aa-4c88-ab94-052a18aad894</t>
  </si>
  <si>
    <t>SecureSystem provides an IoT-enabled supply chain intelligence solution for the security and integrity of shipments.</t>
  </si>
  <si>
    <t>https://www.linkedin.com/company/securesystem</t>
  </si>
  <si>
    <t>https://securesystem.net</t>
  </si>
  <si>
    <t>info@securesystem.net</t>
  </si>
  <si>
    <t>49 (89) 215 384 86-0</t>
  </si>
  <si>
    <t>Application Performance Management; Information Technology; Internet of Things</t>
  </si>
  <si>
    <t>mymovingpartner</t>
  </si>
  <si>
    <t>b591fb77-48ab-479c-909b-1382fb75db1c</t>
  </si>
  <si>
    <t>mymovingpartner is a booking platform where you can plan, calculate and book your relocation.</t>
  </si>
  <si>
    <t>mymovingpartner is a booking platform where you can plan, calculate and book your relocation. If you want to move by yourself we offer you the possibility  to ease your relocation with moving boxes which will be delivered to your home and will be picked up after you moved. They also offer a wide varity of packing material to protect your goods. You can also use our site to find a fitting transporter for your relocation and if you need help regarding your furniture and boxes you can rent students which will assist you. If you want to hand your relocation to professionals you can use our site to directly book a professional moving company while getting a fixed price by using our calculator.</t>
  </si>
  <si>
    <t>https://www.linkedin.com/company/movingstar.com-gmbh/</t>
  </si>
  <si>
    <t>https://mymovingpartner.com</t>
  </si>
  <si>
    <t>info@mymovingpartner.com</t>
  </si>
  <si>
    <t>0800 58 88 536</t>
  </si>
  <si>
    <t>E-Commerce; Logistics; Supply Chain Management</t>
  </si>
  <si>
    <t>information_technology; management</t>
  </si>
  <si>
    <t>act renewable</t>
  </si>
  <si>
    <t>act-renewable</t>
  </si>
  <si>
    <t>dff59359-2d4b-44d5-bb70-b40f03eeb0e3</t>
  </si>
  <si>
    <t>act renewable is a consulting firm that evaluates technological solutions and analyzes regulations specific to each country.</t>
  </si>
  <si>
    <t>act renewable is a consulting and services firm that specializes in advising businesses and their supply chain ecosystems. They perform financial analyses and conduct feasibility studies at both local and global levels, aiming to provide a clear understanding of the opportunities and risks involved.</t>
  </si>
  <si>
    <t>https://www.linkedin.com/company/act-renewable-gmbh</t>
  </si>
  <si>
    <t>https://www.actrenewable.net</t>
  </si>
  <si>
    <t>contact@actrenewable.net</t>
  </si>
  <si>
    <t>+49 8938-3932-6088</t>
  </si>
  <si>
    <t>Consulting; Mapping Services; Procurement; Renewable Energy</t>
  </si>
  <si>
    <t>Onyx Creative Engineering</t>
  </si>
  <si>
    <t>onyx-creative-engineering</t>
  </si>
  <si>
    <t>d8a97529-e50c-4b73-b785-e901d5295a52</t>
  </si>
  <si>
    <t>Onyx Creative Engineering offers software solutions for wide-format printing and technical product development services.</t>
  </si>
  <si>
    <t>Onyx Creative Engineering produces engineering and design services for product development across several industries. It performs concept and design work, develops plastic components, and supports the transition from prototypes to series production. The company integrates mechanical construction, system integration, and variant development, and also handles project and supply chain management.</t>
  </si>
  <si>
    <t>https://www.linkedin.com/company/onyx-gmbh</t>
  </si>
  <si>
    <t>https://www.onyx-europe.com</t>
  </si>
  <si>
    <t>info@onyx-europe.com</t>
  </si>
  <si>
    <t>+49 89 89 054 870</t>
  </si>
  <si>
    <t>Bernd Spleiss; Frank Templin</t>
  </si>
  <si>
    <t>Mechanical Design; Project Management; Software</t>
  </si>
  <si>
    <t>Optiwiser A.I. Solutions</t>
  </si>
  <si>
    <t>optiwiser-a-i-solutions</t>
  </si>
  <si>
    <t>84b0e33f-21bd-466b-ae23-199f7c1384b9</t>
  </si>
  <si>
    <t>Optiwiser A.I. Solutions offers AI tools for supply chain planning, demand forecasting, inventory optimization, and scenario analysis.</t>
  </si>
  <si>
    <t>Optiwiser A.I. Solutions provides an AI-driven cloud platform designed for supply chain planning in the food, beverage, and cosmetics sectors. Its software includes tools for demand forecasting, inventory optimization, production and procurement planning, detailed scheduling, materials breakdown, and an integrated AI assistant called OptiGPT. The platform automatically selects forecasting models using its StreamWiser engine, identifies demand-influencing events, and adjusts safety stock levels while accounting for factors such as shelf life and order constraints. It also supports scenario planning, ABC analytics, and real-time planning visibility to help organizations make data-based decisions. The solution is designed to integrate quickly into existing operations and aims to reduce waste, balance inventory levels, and improve overall planning efficiency.</t>
  </si>
  <si>
    <t>https://www.linkedin.com/company/optiwiser</t>
  </si>
  <si>
    <t>https://www.optiwiser.io/en/home</t>
  </si>
  <si>
    <t>maximilian.koehler@optiwiser.de</t>
  </si>
  <si>
    <t>Ediz Erkmen; Enrico Miranda; Maximilian K√∂hler</t>
  </si>
  <si>
    <t>Artificial Intelligence (AI); Food and Beverage; Software</t>
  </si>
  <si>
    <t>Auto Magnus</t>
  </si>
  <si>
    <t>auto-magnus</t>
  </si>
  <si>
    <t>f5abdf0e-5b3c-4474-a45f-de08b1831e2d</t>
  </si>
  <si>
    <t>Auto Magnus is a car dealership agency that offers new and used vehicles, spare parts, and financing services.</t>
  </si>
  <si>
    <t>https://www.linkedin.com/company/auto-magnus-gmbh/</t>
  </si>
  <si>
    <t>https://automagnus.de/</t>
  </si>
  <si>
    <t>sales@automagnus.de</t>
  </si>
  <si>
    <t>+49 089 3509 66880</t>
  </si>
  <si>
    <t>Automotive; Retail; Supply Chain Management; Transportation</t>
  </si>
  <si>
    <t>Stratega Global</t>
  </si>
  <si>
    <t>stratega-global</t>
  </si>
  <si>
    <t>130d28b1-c0d8-4f0b-a9ef-44d6dea6b0ba</t>
  </si>
  <si>
    <t>Stratega Global is a strategic advisory firm, offering insights on business strategy, corporate strategy, and global food security strategy.</t>
  </si>
  <si>
    <t>Stratega Global is a strategic advisory firm that assists organizations in navigating today's disrupted world. They focus on helping businesses survive and succeed by addressing strategic challenges for maximum impact. Their services include providing insights on business strategy, corporate strategy, and global food security strategy. They also offer guidance on innovative company elements, public health issues like cervical cancer, and global supply chain security. Additionally, they work on reducing inequalities that drive epidemics and aim to close the gender gap in the global workforce.</t>
  </si>
  <si>
    <t>https://www.linkedin.com/company/stratega-global</t>
  </si>
  <si>
    <t>https://www.stratega.global</t>
  </si>
  <si>
    <t>munich@stratega.global</t>
  </si>
  <si>
    <t>Ian Pallister</t>
  </si>
  <si>
    <t>IPL Consulting</t>
  </si>
  <si>
    <t>ipl-consulting-3abb</t>
  </si>
  <si>
    <t>68770a18-2691-4aa8-ba33-df9bdabc3abb</t>
  </si>
  <si>
    <t>IPL Consulting is a logistics consulting company that offers supply chain management and organisational development services.</t>
  </si>
  <si>
    <t>https://www.linkedin.com/company/ipl-beratung-gmbh</t>
  </si>
  <si>
    <t>https://ipl-beratung.de</t>
  </si>
  <si>
    <t>service@ipl-beratung.de</t>
  </si>
  <si>
    <t>+49 0176 47387881</t>
  </si>
  <si>
    <t>Business Development; Consulting; Lead Management; Logistics; Supply Chain Management</t>
  </si>
  <si>
    <t>Robert Kukla</t>
  </si>
  <si>
    <t>robert-kukla</t>
  </si>
  <si>
    <t>f96881ce-56ae-47ed-b92a-6cc30b3cc35b</t>
  </si>
  <si>
    <t>Robert Kukla is a logistics and supply chain company.</t>
  </si>
  <si>
    <t>https://www.linkedin.com/company/robert-kukla-gmbh/</t>
  </si>
  <si>
    <t>http://www.kukla-spedition.com/</t>
  </si>
  <si>
    <t>info@kukla-spedition.com</t>
  </si>
  <si>
    <t>49-89-7474800</t>
  </si>
  <si>
    <t>finance; management; marketing; operations; sales</t>
  </si>
  <si>
    <t>Agamus Consult</t>
  </si>
  <si>
    <t>agamus-consult</t>
  </si>
  <si>
    <t>3c59e2b5-3b7d-4c2e-9723-47312c799e2f</t>
  </si>
  <si>
    <t>Agamus Consult is a management consulting company that provides supply chain management and organizational development services.</t>
  </si>
  <si>
    <t>https://www.linkedin.com/company/agamus-consult/</t>
  </si>
  <si>
    <t>https://www.agamus.com/</t>
  </si>
  <si>
    <t>info@agamus.com</t>
  </si>
  <si>
    <t>+49 (0) 89 44 388 99 22</t>
  </si>
  <si>
    <t>Business Development; Management Consulting; Supply Chain Management</t>
  </si>
  <si>
    <t>Candidus</t>
  </si>
  <si>
    <t>candidus-bb85</t>
  </si>
  <si>
    <t>165b0b7d-b443-4eaf-b2d4-bafb5a7ebb85</t>
  </si>
  <si>
    <t>Candidus is a management consulting firm that offers business transformation, sustainability, and supply chain management services.</t>
  </si>
  <si>
    <t>https://www.linkedin.com/company/candidus-gmbh/</t>
  </si>
  <si>
    <t>https://candidus.com</t>
  </si>
  <si>
    <t>office@candidus.com</t>
  </si>
  <si>
    <t>+49 89 210 2850</t>
  </si>
  <si>
    <t>BLOKS. GmbH</t>
  </si>
  <si>
    <t>bloks-gmbh</t>
  </si>
  <si>
    <t>af19583c-e08f-22ea-8040-2145c1a08e8c</t>
  </si>
  <si>
    <t>BLOKS. creates design leeway for designing a new bike.</t>
  </si>
  <si>
    <t>The idea for BLOKS. was born as long ago as 2013, before Daniel Meermann‚Äôs company was set up in 2014. The head office is in the Munich Technology Centre, between Olympiapark and Dantebad. The heart of BLOKS. is here in the ‚ÄúIsar valley‚Äù. Product management and software development. Here, they have brought together many years of experience from the automotive, wearables and bike sectors. Marketing, sales and service are also controlled globally from Bavaria‚Äôs regional capital. The Munich team collaborates closely with an international network of experts. In their office in Hong Kong, the industrialisation of BLOKS. components is the top priority. Its proximity to the Shenzhen production site, the ‚ÄúWorkbench of the World‚Äù guarantees us availability of the newest components, full control over their supply chain and the quality of their components. In 2015, BLOKS. exhibited to the specialist public for the first time, at the world‚Äôs largest bicycle trade fair, Eurobike. The successful world premiere was completed with the coveted Eurobike Award.</t>
  </si>
  <si>
    <t>https://www.linkedin.com/company/bloks--gmbh</t>
  </si>
  <si>
    <t>http://www.bloks.de</t>
  </si>
  <si>
    <t>info@bloks.de</t>
  </si>
  <si>
    <t>Product Design; Software</t>
  </si>
  <si>
    <t>Ingenieurb√ºro Kieltsch</t>
  </si>
  <si>
    <t>ingenieurb√ºro-kieltsch</t>
  </si>
  <si>
    <t>60ec07df-92ce-486c-bf61-9323064471cc</t>
  </si>
  <si>
    <t>Ingenieurb√ºro Kieltsch offers architectural and engineering services, fire protection planning, and safety coordination.</t>
  </si>
  <si>
    <t>Ingenieurb√ºro Kieltsch operates in the construction industry, providing a range of services including architectural and engineering solutions, fire protection planning, and safety and health coordination. The team consists of architects, engineers, construction technicians, and experts in fire protection and construction management. They also offer services as fire protection officers and safety and health coordinators. The company is known for its expertise in business process management within the logistics and supply chain industry.</t>
  </si>
  <si>
    <t>https://www.linkedin.com/company/ingenieurb%C3%BCro-kieltsch/</t>
  </si>
  <si>
    <t>https://www.ib-kieltsch.de</t>
  </si>
  <si>
    <t>info@ib-kieltsch.de</t>
  </si>
  <si>
    <t>+49 89 96 16 08 99</t>
  </si>
  <si>
    <t>Architecture; Construction; Physical Security; Public Safety</t>
  </si>
  <si>
    <t>Boysen</t>
  </si>
  <si>
    <t>boysen</t>
  </si>
  <si>
    <t>65d7f5a2-8bbe-451f-8c79-e2d86fde0bb5</t>
  </si>
  <si>
    <t>Boysen is a supplier of aerospace fastening products and components.</t>
  </si>
  <si>
    <t>https://www.linkedin.com/company/boysen-gmbh-&amp;-co-kg</t>
  </si>
  <si>
    <t>https://www.boysen.aero</t>
  </si>
  <si>
    <t>info@boysen.aero</t>
  </si>
  <si>
    <t>+49 089 4274210</t>
  </si>
  <si>
    <t>Hardware; Supply Chain Management; Wholesale</t>
  </si>
  <si>
    <t>human_resources; marketing; sales</t>
  </si>
  <si>
    <t>BM Logistic</t>
  </si>
  <si>
    <t>bm-logistic</t>
  </si>
  <si>
    <t>c2b81d0d-b225-4617-ac94-4cbef355ac49</t>
  </si>
  <si>
    <t>Bm Logistic provides household clearance, apartment clearance, storage, and waste disposal services.</t>
  </si>
  <si>
    <t>https://www.linkedin.com/company/bm-logistic</t>
  </si>
  <si>
    <t>https://bm-logistic.de</t>
  </si>
  <si>
    <t>info@logbm.de</t>
  </si>
  <si>
    <t>+49 89 43576933</t>
  </si>
  <si>
    <t>Logistics; Supply Chain Management; Waste Management</t>
  </si>
  <si>
    <t>Computer Sky</t>
  </si>
  <si>
    <t>computer-sky</t>
  </si>
  <si>
    <t>32ab3748-a5c7-4400-88f6-297c5304a0f4</t>
  </si>
  <si>
    <t>Computer Sky is an IT company that distributes electronic and electromechanical components for the electronics industry.</t>
  </si>
  <si>
    <t>http://www.computersky.de/</t>
  </si>
  <si>
    <t>info@computersky.de</t>
  </si>
  <si>
    <t>Electronics; Retail; Supply Chain Management</t>
  </si>
  <si>
    <t>Merzendorf Rehabilitation Technology</t>
  </si>
  <si>
    <t>merzendorf-rehabilitation-technology</t>
  </si>
  <si>
    <t>26601a44-61a2-4aeb-8518-5fd216612235</t>
  </si>
  <si>
    <t>Merzendorf Rehabilitation Technology is a medical supply store that sells orthopaedic technology, breath, inhale, and suction products.</t>
  </si>
  <si>
    <t>https://www.linkedin.com/company/merzendorfer-reha-technik</t>
  </si>
  <si>
    <t>https://www.merzendorfer.de</t>
  </si>
  <si>
    <t>reha@merzendorfer.de</t>
  </si>
  <si>
    <t>+49 89 6144380</t>
  </si>
  <si>
    <t>Health Care; Medical; Medical Device; Supply Chain Management</t>
  </si>
  <si>
    <t>LG Fashion Labs</t>
  </si>
  <si>
    <t>lg-fashion-labs</t>
  </si>
  <si>
    <t>57610be8-6a9e-44ae-a72f-4e0c3ecc1428</t>
  </si>
  <si>
    <t>Production orchestration OS for EU fashion brands navigating Digital Product Passport (DPP) compliance.</t>
  </si>
  <si>
    <t>LG Fashion Labs (LGFL) is a Munich-based B2B fashion-tech startup building the production orchestration operating system for EU fashion brands navigating Digital Product Passport (DPP) compliance under the EU Ecodesign for Sustainable Products Regulation (ESPR). The EU DPP mandate requires fashion brands to encode 126+ data points per product ‚Äî covering material origin, composition, manufacturing process, factory certifications, chemical compliance, circularity, and traceability ‚Äî before selling in the EU market. Most brands have 30‚Äì40% of this data scattered across tech packs, BOMs, supplier emails, and compliance folders. No single system currently aggregates, validates, and formats this data to the Trace4Value DPP Data Protocol standard. LGFL solves this with a three-layer platform: a free DPP Readiness Audit (Phase 0) that benchmarks a brand's existing data against all 126 Trace4Value fields across 9 domains; a production orchestration layer (the Structured Production Object, or SPO) that encodes DPP data at point of order creation; and a Factory Capability Graph connecting EU fashion brands to compliant manufacturers in Istanbul and Porto/Norte ‚Äî the two primary EU fashion production clusters. Phase 0 (current): Free DPP Readiness Audits for EU fashion brands. One collection, 15 styles, existing files only, delivered in 5 business days under NDA. No IT integration required. Brands receive a quantified gap report benchmarked against the Trace4Value protocol, identifying exactly which data points are missing and where they live in the production workflow. Target customers: EU fashion brands at ‚Ç¨1‚Äì50M revenue sourcing from Turkey, Portugal, Italy, and Eastern Europe ‚Äî particularly brands in the Fashion Council Germany and Berlin Fashion Week ecosystems. Founded by Lior Gabriel Graetz, a fashion designer and supply chain entrepreneur with experience at Talbot Runhof and Maskit, five runway collections across Vienna and Munich, and a BBA in Logistics &amp; Supply Chain Management (ISM Munich). LGFL operates the Lior Gabriel fashion label (liorgabriel.com) as a proof-of-concept customer.</t>
  </si>
  <si>
    <t>https://www.linkedin.com/company/lg-fashion-labs/</t>
  </si>
  <si>
    <t>https://lgfashionlabs.com</t>
  </si>
  <si>
    <t>contact@liorgabriel.com</t>
  </si>
  <si>
    <t>Fashion; Information Technology; Manufacturing; Software</t>
  </si>
  <si>
    <t>Josef Traub</t>
  </si>
  <si>
    <t>josef-traub</t>
  </si>
  <si>
    <t>443f35ef-3d67-4b6e-a8bc-685cfc29f961</t>
  </si>
  <si>
    <t>Josef Traub is a distribution company that supplies electrotechnical items such as moto plugs, switches, capacitors, and cables.</t>
  </si>
  <si>
    <t>https://www.linkedin.com/company/josef-traub-gmbh/</t>
  </si>
  <si>
    <t>https://traub-gmbh.de/</t>
  </si>
  <si>
    <t>info@traub-gmbh.de</t>
  </si>
  <si>
    <t>RAAY</t>
  </si>
  <si>
    <t>raay</t>
  </si>
  <si>
    <t>36be0049-4c1e-4daa-ba12-28f3881c2a6b</t>
  </si>
  <si>
    <t>RAAY is platform for blockchain-based accounting, payments, settlements and identity management.</t>
  </si>
  <si>
    <t>https://www.linkedin.com/company/raay/</t>
  </si>
  <si>
    <t>https://raay.digital</t>
  </si>
  <si>
    <t>info@raay.digital</t>
  </si>
  <si>
    <t>Michael Reuter</t>
  </si>
  <si>
    <t>Accounting; Blockchain; Software; Supply Chain Management</t>
  </si>
  <si>
    <t>PointOut</t>
  </si>
  <si>
    <t>pointout</t>
  </si>
  <si>
    <t>22111e38-542e-4e9f-a47a-865a715a7418</t>
  </si>
  <si>
    <t>PointOut is a software company that is dedicated to business applications and supply chain management services.</t>
  </si>
  <si>
    <t>https://www.linkedin.com/company/pointout-gmbh/</t>
  </si>
  <si>
    <t>http://www.pointout.de</t>
  </si>
  <si>
    <t>info@pointout.de</t>
  </si>
  <si>
    <t>49-89-57 83 95</t>
  </si>
  <si>
    <t>Information Technology; Software; Supply Chain Management</t>
  </si>
  <si>
    <t>Cesonia</t>
  </si>
  <si>
    <t>cesonia-gmbh</t>
  </si>
  <si>
    <t>a947f52a-920f-4114-a153-02a08c036294</t>
  </si>
  <si>
    <t>Cesonia provides a data exchange and cooperation platform for consistent, supply chain-wide requirements management.</t>
  </si>
  <si>
    <t>As a middleware, Cesonia builds the bridge between different organizations and their individual requirements management systems, and thanks to a web interface allows a "single point of truth" for all parties without having to store project data themselves. Continuous workflows as well as a blockchain based audit trail ensure audit-proof change management. Starting with the product configuration, the Cesonia platform enables the coordination of individual requirements between engineering and purchasing as well as external partners.</t>
  </si>
  <si>
    <t>https://www.linkedin.com/company/cesonia/</t>
  </si>
  <si>
    <t>https://cesonia.io/</t>
  </si>
  <si>
    <t>info@cesonia.io</t>
  </si>
  <si>
    <t>Korbinian Sontheim</t>
  </si>
  <si>
    <t>Aerospace; Automotive; Software</t>
  </si>
  <si>
    <t>Aerospace Consultancy Associates</t>
  </si>
  <si>
    <t>aerospace-consultancy-associates</t>
  </si>
  <si>
    <t>d3325f0a-5ef1-4ba6-a0e8-eb34337cc104</t>
  </si>
  <si>
    <t>ACA provides management consulting, process optimization and executive coaching focused on complex industrial sectors.</t>
  </si>
  <si>
    <t>Aerospace Consultancy Associates GmbH provides management consulting, change management, and executive coaching for corporations and mid-sized companies in complex industries such as aerospace, machinery, shipbuilding, rail, and defense. The firm focuses on operations, supply-chain management, human resources, and finance. Services include strategy implementation, restructuring support, post-merger integration, crisis management, process optimization, and organizational development. ACA also supports boards, executives, and operational leaders with coaching, management audits, and governance, as well as supply chain, risk, and financial health assessments.</t>
  </si>
  <si>
    <t>https://www.linkedin.com/company/aca-aerospace-consultancy-associates-gmbh</t>
  </si>
  <si>
    <t>https://www.aca.team</t>
  </si>
  <si>
    <t>info@aca.team</t>
  </si>
  <si>
    <t>+49 89 64 25 74 27</t>
  </si>
  <si>
    <t>Corporate Training; Financial Services; Human Resources; Management Consulting; Risk Management; Supply Chain Management</t>
  </si>
  <si>
    <t>PDL Logistic O√ú</t>
  </si>
  <si>
    <t>pdl-logistic-o√º</t>
  </si>
  <si>
    <t>472adf54-4a08-44a1-87c2-d8b385634439</t>
  </si>
  <si>
    <t>PDL Logistic specializes in international freight forwarding, multimodal transport, customs clearance, and bonded warehouse logistics.</t>
  </si>
  <si>
    <t>PDL Logistic specializes in international freight forwarding, multimodal transport, and customs brokerage for cargo moving between the European Union and Russia. The company coordinates road, sea, rail, and Ro-Ro transport to move full truckload and less than truckload shipments, including single-pallet consignments. It focuses on construction cargo flows, arranging deliveries of building materials and related products from factories across Europe to customer warehouses and construction sites. PDL Logistic provides third party logistics services under Incoterms, including door-to-door delivery on DDP terms. Its bonded warehouse supports cargo consolidation, storage, and handling, with a dedicated rail spur enabling bulk movements. The company also manages export and import customs clearance within Estonia and the wider European Union. In addition, it handles bulk export of Russian sawn timber to European buyers and offers related real estate and warehouse management services for logistics operations.</t>
  </si>
  <si>
    <t>http://pdl.ee/en/</t>
  </si>
  <si>
    <t>victor.kartyshev@pdl.ee</t>
  </si>
  <si>
    <t>+372 35 66 560</t>
  </si>
  <si>
    <t>Building Material; Construction; Customer Service; Freight Service; Logistics; Railroad; Supply Chain Management; Transportation; Warehousing</t>
  </si>
  <si>
    <t>Osa√ºhing Rudholm JB</t>
  </si>
  <si>
    <t>osa√ºhing-rudholm-jb</t>
  </si>
  <si>
    <t>655dee28-6f2d-4436-baf0-e6c4b43390f2</t>
  </si>
  <si>
    <t>Rudholm JB is a holding venture that develops and manages textile machinery distribution and commercial property operations.</t>
  </si>
  <si>
    <t>Rudholm JB is a holding venture that focuses on developing and managing international operations in textile machinery and related assets. The company oversees the strategic growth of its subsidiary that distributes machinery for textile manufacturing, sewing, and knitting applications. Through this structure it concentrates on supplying industrial equipment to regional textile mills, garment factories, and automated knitting lines via wholesale channels. Rudholm JB also manages commercial real estate activities that support these operations, including development and management of properties used for manufacturing and logistics. Its role combines investment oversight, asset coordination, and commercial development within textile industry supply chains.</t>
  </si>
  <si>
    <t>http://www.rudholm.ee</t>
  </si>
  <si>
    <t>rudholm@rudholm.ee</t>
  </si>
  <si>
    <t>+372 646 5059</t>
  </si>
  <si>
    <t>Building Material; Commercial Real Estate; Industrial Manufacturing; Logistics; Machinery Manufacturing; Manufacturing; Property Management; Supply Chain Management; Textiles; Wholesale</t>
  </si>
  <si>
    <t>Graaf Group</t>
  </si>
  <si>
    <t>graaf-group</t>
  </si>
  <si>
    <t>5feff079-2bc8-4e1e-b301-9e6cae98dfb0</t>
  </si>
  <si>
    <t>Graaf Group provides corporate advisory, property development, and luxury retail consulting services.</t>
  </si>
  <si>
    <t>Graaf Group provides corporate advisory, property development, and multi-industry investment services. The company focuses on property acquisition and transformation, including architectural rendering, spatial design, marketing, and buyer introductions. Graaf Group advises luxury retail brands on wholesale and distribution, procurement logistics, business models, and sourcing and supply for e-commerce channels. It offers marketing services such as brand strategies, promotions, events, and digital magazine production related to luxury sectors. The company also delivers management consulting covering licenses, financial analysis, payroll, recruitment, and staff training. In addition, Graaf Group works on concept development for luxury villas, yachts, hospitality venues, and related lifestyle projects.</t>
  </si>
  <si>
    <t>https://graafgroup.com</t>
  </si>
  <si>
    <t>admin@graafgroup.com</t>
  </si>
  <si>
    <t>+612 8212 4293</t>
  </si>
  <si>
    <t>Architecture; Business Information Systems; Corporate Training; Hospitality; Management Consulting; Marketing; Property Development; Real Estate; Retail; Supply Chain Management</t>
  </si>
  <si>
    <t>Sydney</t>
  </si>
  <si>
    <t>Australia</t>
  </si>
  <si>
    <t>GoldenTrack</t>
  </si>
  <si>
    <t>goldentrack</t>
  </si>
  <si>
    <t>4924f531-dd9a-4644-a628-1781f9e129f5</t>
  </si>
  <si>
    <t>GoldenTrack is an international trading company that provides vehicle export, wholesale goods trading, and logistics services.</t>
  </si>
  <si>
    <t>GoldenTrack is an international trading company that operates in vehicle trade, wholesale goods distribution, and logistics services. The company provides a full vehicle export pipeline that covers car sourcing, purchasing, technical inspection, export handling, and registration management for business clients. GoldenTrack also trades a wide range of wholesale products, including building materials, tools, equipment, construction machinery, household goods, textiles, and foodstuffs. Its services extend to organizing wholesale purchases, coordinating international transport, and structuring bulk transactions across multiple product categories. The company supports clients that need integrated trade and logistics solutions for cross-border automotive and general merchandise flows.</t>
  </si>
  <si>
    <t>https://goldentrack.ee/</t>
  </si>
  <si>
    <t>goldentrackou@gmail.com</t>
  </si>
  <si>
    <t>Automotive; Building Material; Consumer Goods; Food and Beverage; Logistics; Machinery Manufacturing; Supply Chain Management; Textiles; Transportation; Wholesale</t>
  </si>
  <si>
    <t>Nutikas Infologistics O√ú</t>
  </si>
  <si>
    <t>nutikas-infologistics-o√º</t>
  </si>
  <si>
    <t>2467a7bc-c02c-4456-b94e-e9142622c158</t>
  </si>
  <si>
    <t>Nutikas Infologistics offers freight forwarding, rail wagon transport, and business management consulting services.</t>
  </si>
  <si>
    <t>Nutikas Infologistics is a logistics and consulting company that provides freight forwarding and cargo organization across road, rail, and sea. The company coordinates international wagon-based rail transport linking Europe, Asia, Russia, and CIS destinations. It manages multimodal cargo flows and supports clients with auxiliary activities related to general freight handling and non-specialized retail. Nutikas Infologistics also offers business management consultation focused on structuring operational workflows and optimizing business processes. Services are tailored to project requirements and budgets, covering both logistics execution and advisory support.</t>
  </si>
  <si>
    <t>https://www.nutikasinfologistics.com/</t>
  </si>
  <si>
    <t>info@nutikasinfologistics.com</t>
  </si>
  <si>
    <t>+372 5848 1988</t>
  </si>
  <si>
    <t>Business Process Automation (BPA); Consulting; Freight Service; Logistics; Management Consulting; Marine Transportation; Railroad; Shipping; Supply Chain Management; Transportation</t>
  </si>
  <si>
    <t>Biomerk O√ú</t>
  </si>
  <si>
    <t>biomerk-o√º</t>
  </si>
  <si>
    <t>0ecddd3f-875d-431e-9529-f2061304a317</t>
  </si>
  <si>
    <t>Biomerk supplies and installs industrial conveyor components, belts, power transmission parts, and related material handling equipment.</t>
  </si>
  <si>
    <t>Biomerk supplies industrial customers with conveyor components, power transmission parts, and related material handling equipment. The company focuses on distributing and installing conveyor belts, mechanical connecting fasteners, clamps, and modular mesh belts. Its offering includes power transmission and polyurethane belts, pulley lagging materials, and industrial wheels and wheel assemblies. Biomerk acts as an importer and distributor for industrial equipment brands and provides products suited to heavy industrial, manufacturing, and processing environments. It serves business clients that require components for material transport, packaging machinery, and production lines. The company also supports professional installation and belt replacement to keep conveyor and drive systems in operation.</t>
  </si>
  <si>
    <t>https://www.biomerk.ee/</t>
  </si>
  <si>
    <t>info@biomerk.ee</t>
  </si>
  <si>
    <t>B2B; Building Material; Industrial; Logistics; Machinery Manufacturing; Manufacturing; Mechanical Engineering; Supply Chain Management; Transportation</t>
  </si>
  <si>
    <t>Portex</t>
  </si>
  <si>
    <t>portex-833d</t>
  </si>
  <si>
    <t>9754214e-a14e-4edc-a32c-15a831b8833d</t>
  </si>
  <si>
    <t>Portex provides product development and production of fashion garments, sportswear, uniforms, and related textile services.</t>
  </si>
  <si>
    <t>Portex provides end-to-end development and production services for fashion garments, sportswear, uniforms, and other apparel. The company coordinates between designers, international brands, and Estonian manufacturing facilities to deliver outerwear and textile products. Its services cover product development from customer idea and design refinement through sample creation and test runs. Portex uses Lectra software for pattern construction, grading, and marker making, and prepares production documentation and material consumption calculations. It supplies auxiliary materials such as threads, buttons, zippers, interlinings, linings, and labels needed for samples and final production. The company plans manufacturing by selecting suitable sewing factories, scheduling capacity, and calculating production pricing. Portex also organizes value-added services including embroidery, printing, technical washing, quality control, finishing, packing, and transport, along with import and export documentation that complies with European Union regulations.</t>
  </si>
  <si>
    <t>http://www.portex.ee/</t>
  </si>
  <si>
    <t>portex@portex.ee</t>
  </si>
  <si>
    <t>+372 646 5050</t>
  </si>
  <si>
    <t>Apparel; Fashion; Logistics; Manufacturing; Product Design; Quality Assurance; Sports; Supply Chain Management</t>
  </si>
  <si>
    <t>Traston LTD</t>
  </si>
  <si>
    <t>traston-ltd</t>
  </si>
  <si>
    <t>85b2d987-1640-48b9-93a3-210ae442070c</t>
  </si>
  <si>
    <t>Traston is a marine supply company that provides ship provisions, bonded stores, technical stores, and spare parts for sea-going vessels.</t>
  </si>
  <si>
    <t>Traston is a marine supply company that serves sea-going vessels with a full range of ship supplies. The company provides fresh, frozen, and dry food provisions and beverages packed for long-duration sea voyages. It supplies bonded stores such as duty-free items, tobacco, liquors, and confectionery for crew and onboard inventory. Traston also delivers technical stores, including engine, cabin, deck, and electrical supplies required for ongoing vessel maintenance. In addition, it offers industrial mechanical and electronic spare parts that match ship machinery and equipment specifications. The company operates as a business-to-business partner to shipping companies, supporting vessel operations through ship provisioning and technical supply services.</t>
  </si>
  <si>
    <t>https://www.traston.ee</t>
  </si>
  <si>
    <t>info@traston.ee</t>
  </si>
  <si>
    <t>+372 677 5813</t>
  </si>
  <si>
    <t>Electrical Distribution; Food and Beverage; Industrial; Logistics; Marine Technology; Mechanical Engineering; Shipping; Supply Chain Management; Wholesale</t>
  </si>
  <si>
    <t>HAIP Tech</t>
  </si>
  <si>
    <t>haip-tech</t>
  </si>
  <si>
    <t>21d311d2-7685-4f5f-8b5c-1493f9a71a92</t>
  </si>
  <si>
    <t>HAIP Tech supplies POS hardware, barcode solutions, label printers, mobile terminals, and related accessories for business operations.</t>
  </si>
  <si>
    <t>HAIP Tech supplies hardware solutions that connect digital systems with everyday business operations. The company focuses on importing and wholesaling point of sale computers, checkout equipment, barcode readers, label printers, receipt printers, cash drawers, touch monitors, and mobile terminals. Its catalog supports logistics, retail, and IT environments that need accurate data capture and process optimization. HAIP Tech complements hardware distribution with services such as device pre-configuration, screen replacement, out-call support, and remote management. It also designs and 3D prints custom accessories and spare parts for devices that are difficult to source. The company works with IT managers and development teams to equip warehouses, stores, and offices with appropriate scanning and printing infrastructure. Through partnerships with hardware manufacturers, HAIP Tech provides products and technical support suited to enterprise use cases.</t>
  </si>
  <si>
    <t>https://www.linkedin.com/company/haip-tech</t>
  </si>
  <si>
    <t>https://haiptech.ee/</t>
  </si>
  <si>
    <t>info@haiptech.ee</t>
  </si>
  <si>
    <t>+372 5674 0169</t>
  </si>
  <si>
    <t>3D Printing; Computer; Customer Service; Enterprise Software; Hardware; Logistics; Mobile; Point of Sale; Retail Technology; Supply Chain Management</t>
  </si>
  <si>
    <t>Optes Baltic O√ú</t>
  </si>
  <si>
    <t>optes-baltic-o√º</t>
  </si>
  <si>
    <t>99780ebf-3238-4ab6-8ee3-68c415bf650d</t>
  </si>
  <si>
    <t>Optes Baltic imports and wholesales children‚Äôs car seats, strollers, and related accessories for retail partners.</t>
  </si>
  <si>
    <t>Optes Baltic imports and wholesales children‚Äôs car seats, strollers, and related accessories for business customers. The company focuses on supplying juvenile products from international brands such as Bumbleride, Doona, and ValcoBaby. It manages stock, logistics, and distribution so that retailers can maintain local availability of selected baby transport products and accessories. Optes Baltic also offers training and product demonstrations for retail staff and end consumers to support correct product use and informed purchasing decisions. Its activities include coordinating cooperation with retail partners rather than selling directly to end users, emphasizing a business-to-business distribution model.</t>
  </si>
  <si>
    <t>https://www.optes.ee/</t>
  </si>
  <si>
    <t>info@optes.ee</t>
  </si>
  <si>
    <t>+372 5656 7979</t>
  </si>
  <si>
    <t>Baby; Business Development; Children; Consumer Goods; Logistics; Retail; Supply Chain Management; Training; Transportation; Wholesale</t>
  </si>
  <si>
    <t>Haabneeme</t>
  </si>
  <si>
    <t>LVR Tecnology and Logistic O√ú</t>
  </si>
  <si>
    <t>lvr-tecnology-and-logistic-o√º</t>
  </si>
  <si>
    <t>628307cd-04a7-4cc5-910d-b29b7662577c</t>
  </si>
  <si>
    <t>LVR Technology and Logistic provides warehousing, fulfillment, and electronic components wholesale services for business customers.</t>
  </si>
  <si>
    <t>LVR Technology and Logistic provides warehousing, fulfillment, and logistics services for business customers. The company operates a storage facility with palletized capacity and offers secure warehousing for a range of goods. Its fulfillment services cover receiving, inspection, order picking, packing, labeling, repackaging, and returns processing. LVR Technology and Logistic also supports clients with inventory management and stock level optimization. In addition to logistics, the company engages in wholesale trade of electronic equipment, communication hardware, and related components. Its offerings are oriented toward B2B clients that require integrated storage, order processing, and technical supply solutions. The company structures its services to support e-commerce brands, distributors, and industrial customers that ship goods through third-party logistics arrangements.</t>
  </si>
  <si>
    <t>https://lvr-tl.ee/en/</t>
  </si>
  <si>
    <t>info@lvr-tl.ee</t>
  </si>
  <si>
    <t>B2B; Communication Hardware; E-Commerce; Industrial; Logistics; Supply Chain Management; Warehousing; Wholesale</t>
  </si>
  <si>
    <t>MANY THINGS R US LTD</t>
  </si>
  <si>
    <t>many-things-r-us-ltd</t>
  </si>
  <si>
    <t>50aed783-5440-46e8-8599-df0c7447d968</t>
  </si>
  <si>
    <t>Many Things R Us operates an online shop and B2B service sourcing and supplying curated retail products for independent retailers.</t>
  </si>
  <si>
    <t>Many Things R Us operates an online shop and B2B service that sources and supplies curated retail products for independent retailers. The company focuses on retail sale via the internet, offering a changing catalog that ranges from everyday essentials and health and beauty items to themed gifts and hobby products. It acts as a product sourcing partner for smaller shops by researching items, negotiating with suppliers, and arranging procurement tailored to limited buying power. Many Things R Us concentrates on unique and niche products that help clients differentiate their ranges from larger retail chains. Its services include sourcing wholesale inventory, recommending suitable products for specific customer segments, and coordinating logistics with flexible order volumes for micro and small businesses. The company also sells directly to consumers through its ecommerce storefront, allowing shoppers to purchase individual products online.</t>
  </si>
  <si>
    <t>https://www.manythingsrus.co.uk/</t>
  </si>
  <si>
    <t>sales@manythingsrus.co.uk</t>
  </si>
  <si>
    <t>+44 2034 885 058</t>
  </si>
  <si>
    <t>E-Commerce; Logistics; Product Search; Retail; Small and Medium Businesses; Supply Chain Management; Wholesale</t>
  </si>
  <si>
    <t>PJ Dellaquila SP</t>
  </si>
  <si>
    <t>pj-dellaquila-sp</t>
  </si>
  <si>
    <t>b1b3a129-2280-41b8-a517-7fa4ab3b268a</t>
  </si>
  <si>
    <t>Surface Consultants</t>
  </si>
  <si>
    <t>PJ Dellaquila SP is an independent architectural and designer hard surface finish material consulting firm specializing in natural stones, engineered quartz, sintered stones, porcelain, ceramic, glass and wood products. Offering client property owners, architects, designers, contractors and construction managers specialized expertise and a comprehensive review in a value engineering approach to selecting and specifying materials for use in residential - commercial and public use projects. Services cover suitability and feasibility, estimating and budgeting, contracting, procurement coordination and project management. Including supply chain and logistics handling, fabrication, delivery and installation services.</t>
  </si>
  <si>
    <t>https://www.linkedin.com/in/peterdellaquila</t>
  </si>
  <si>
    <t>https://www.designersurfacing.com</t>
  </si>
  <si>
    <t>Peter@designersurfacing.com</t>
  </si>
  <si>
    <t>347-438-9281</t>
  </si>
  <si>
    <t>Consulting; Manufacturing; Real Estate</t>
  </si>
  <si>
    <t>MariComp Oy 2021</t>
  </si>
  <si>
    <t>maricomp-oy-2021</t>
  </si>
  <si>
    <t>e5033464-1612-4709-bed5-ad25ce1eaa42</t>
  </si>
  <si>
    <t>MariComp provides mechanical engineering, steel fabrication, and machining services for industrial metal structures and components.</t>
  </si>
  <si>
    <t>MariComp provides mechanical engineering, steel fabrication, and subcontract manufacturing services for industrial customers. The company focuses on medium and heavy steel constructions, piping prefabrication, and fabricated metal products such as components for automatic waste collection container networks. Its operations cover plasma, laser and mechanical cutting, press and roll bending, flaring, welding, blasting, painting, plastic coating, and CNC-based machining. MariComp also offers assembly and sub-assembly services, enabling delivery of structured systems and ready-to-install metal components. Typical applications include maritime equipment, green technology solutions, infrastructure projects, and automation logistics systems where durable metal structures are required. The company operates as part of a wider group production network, supplying finished and semi-finished metal products to other industrial manufacturers and system integrators.</t>
  </si>
  <si>
    <t>https://www.maricomp.com/</t>
  </si>
  <si>
    <t>jukka.torala@maricomp.ee</t>
  </si>
  <si>
    <t>+372 5627 0860</t>
  </si>
  <si>
    <t>Construction; GreenTech; Industrial; Industrial Automation; Industrial Manufacturing; Manufacturing; Marine Technology; Mechanical Engineering; Supply Chain Management</t>
  </si>
  <si>
    <t>RiskOne</t>
  </si>
  <si>
    <t>riskone-d775</t>
  </si>
  <si>
    <t>d3ec61a3-7ea0-463e-a8bb-dda2cdeed775</t>
  </si>
  <si>
    <t>RiskOne was founded with a single purpose of "building trust in cyber supply chain" for suppliers and consumers.</t>
  </si>
  <si>
    <t>RiskOne was founded with a single purpose of "building trust in cyber supply chain" for suppliers and consumers. That means not only creating transparency in organizational level security practices but also creating transparency in how the products are developed, the product dependencies and related vulnerabilities.</t>
  </si>
  <si>
    <t>https://www.linkedin.com/company/riskoneio/?viewAsMember=true</t>
  </si>
  <si>
    <t>http://www.riskone.io</t>
  </si>
  <si>
    <t>773-469-9938</t>
  </si>
  <si>
    <t>Kabir Mulchandani; Raj Joshi</t>
  </si>
  <si>
    <t>Chicago</t>
  </si>
  <si>
    <t>FASTWAY O√ú</t>
  </si>
  <si>
    <t>fastway-o√º</t>
  </si>
  <si>
    <t>db53dfce-8f1f-48f7-9e99-b17af0452142</t>
  </si>
  <si>
    <t>Fastway is a freight forwarding and customs brokerage company offering multimodal transport, warehousing, and logistics services.</t>
  </si>
  <si>
    <t>Fastway is an international freight forwarding and customs brokerage company that focuses on supporting commercial cargo movements. The company manages multimodal freight forwarding, coordinating shipments across sea containers, road networks, air freight, and rail cargo. Fastway provides customs brokerage services, including preparation and completion of export and import declarations, customs representation, and advisory consultations before transit. It also offers warehousing and transshipment services, covering storage of various goods and transfers between different transport modes. Through these logistics and transport services, Fastway supports clients in planning and executing international trade operations and managing cargo flows efficiently.</t>
  </si>
  <si>
    <t>https://www.fastway.ee</t>
  </si>
  <si>
    <t>vv@fastway.ee</t>
  </si>
  <si>
    <t>+372 627 4000</t>
  </si>
  <si>
    <t>S Lester Packing Materials LTD</t>
  </si>
  <si>
    <t>s-lester-packing-materials-ltd</t>
  </si>
  <si>
    <t>f5d420ae-7851-4673-a76c-1ae5b6191070</t>
  </si>
  <si>
    <t>S Lester Packing Materials LTD manufactures corrugated cardboard packaging and large box solutions for businesses.</t>
  </si>
  <si>
    <t>S Lester Packing Materials LTD manufactures corrugated cardboard packaging for industrial and commercial customers. The company supplies corrugated boxes, large format and heavy-duty cartons, pallet boxes, and related packaging materials. It designs and produces bespoke cardboard packaging to suit different product sizes, weights, and transit requirements. Services include packaging design support and guidance on cost-effective pack formats. Customers use its packaging for shipping, storage, and retail or industrial distribution. The company focuses on corrugated-based solutions and large box applications for varied sectors.</t>
  </si>
  <si>
    <t>http://www.linkedin.com/company/s-lester-packing-materials-ltd</t>
  </si>
  <si>
    <t>https://www.slesterpacking.co.uk</t>
  </si>
  <si>
    <t>Industrial; Industrial Manufacturing; Logistics; Manufacturing; Packaging Services; Retail; Supply Chain Management; Wholesale</t>
  </si>
  <si>
    <t>Castling</t>
  </si>
  <si>
    <t>castling-e8bb</t>
  </si>
  <si>
    <t>ad43d1d2-bfa5-4111-a195-ded2a84ee8bb</t>
  </si>
  <si>
    <t>Veteran Tech Accelerator</t>
  </si>
  <si>
    <t>Castling is a global network of a tech-accelerators dedicated for veteran military officers, originating from combat units. The program offers an ivy-league level acceleration program, accompanied by top high-ranked ex- officers and a strong industry immersion, accelerating 20 start-ups within cutting edge sectors. Focused on transmuting of inviolable martial experience into high-technology solutions in the fields of: Robotics, Space, Drones, Defense, Communication, Traumatic medicine, Supply chain and Logistics.</t>
  </si>
  <si>
    <t>https://www.linkedin.com/company/castling-vet/</t>
  </si>
  <si>
    <t>https://castling-vet.com/</t>
  </si>
  <si>
    <t>info@castling-vet.com</t>
  </si>
  <si>
    <t>Erez Yerushalmi; Maor Kazatsker; Shay Adler; Yarden Baruch</t>
  </si>
  <si>
    <t>Incubators</t>
  </si>
  <si>
    <t>Herzliya</t>
  </si>
  <si>
    <t>Israel</t>
  </si>
  <si>
    <t>APEX INSULATION SUPPLIES LIMITED</t>
  </si>
  <si>
    <t>apex-insulation-supplies-limited</t>
  </si>
  <si>
    <t>ebc2ba8f-e064-4b0f-8404-f2a5b016f783</t>
  </si>
  <si>
    <t>APEX INSULATION SUPPLIES LIMITED supplies and installs insulation materials for residential and commercial properties.</t>
  </si>
  <si>
    <t>https://www.linkedin.com/company/apex-insulation-supplies-limited</t>
  </si>
  <si>
    <t>https://apexinsulation.co.uk</t>
  </si>
  <si>
    <t>sales@apexinsulation.co.uk</t>
  </si>
  <si>
    <t>+44 1773 875511</t>
  </si>
  <si>
    <t>Building Material; Commercial Real Estate; Construction; Energy Efficiency; Home Improvement; Manufacturing; Residential; Retail; Supply Chain Management</t>
  </si>
  <si>
    <t>Wadaboo</t>
  </si>
  <si>
    <t>wadaboo</t>
  </si>
  <si>
    <t>68793e1e-5657-4740-bfbe-bbf414e7448c</t>
  </si>
  <si>
    <t>Wadaboo is a stock company with high specialized personnel in Supply Chain Management.</t>
  </si>
  <si>
    <t>Wadaboo is a stock company with high specialized personnel in Supply Chain Management. The Company was born of the Procurement and Logistic experience. Our plattform is robust, with high standards of security which guarentees 100% protection of your data. Acting as a bridge between buyers and suppliers, and offering a simple tool where organizers of reverse auctions (buyers) can achieve their saving goals, makes us specialy proud. Different to other reverse auction portals, Wadaboo is very easy to use for buyers, and even easier for invited suppliers.</t>
  </si>
  <si>
    <t>https://www.linkedin.com/company/wadaboo</t>
  </si>
  <si>
    <t>https://www.wadaboo.com</t>
  </si>
  <si>
    <t>atencion@wadaboo.com</t>
  </si>
  <si>
    <t>Dami√°n Ladiani; Nicol√°s Passerini; Sergio Daniel Blitman</t>
  </si>
  <si>
    <t>B2B</t>
  </si>
  <si>
    <t>Buenos Aires</t>
  </si>
  <si>
    <t>Argentina</t>
  </si>
  <si>
    <t>DHP Logistics</t>
  </si>
  <si>
    <t>dhp-logistics</t>
  </si>
  <si>
    <t>804e70bb-bbb9-4ae9-9a78-6718207b07da</t>
  </si>
  <si>
    <t>DHP Logistics provides freight forwarding, logistics, and supply chain management services for domestic and international transport.</t>
  </si>
  <si>
    <t>DHP Logistics is a logistics company that performs freight forwarding, transportation, and supply chain management services. The company supports warehousing, international transport, and customs-related logistics processes to facilitate the movement of goods across borders. The company focuses on integrated logistics solutions that combine storage, transportation coordination, and operational support for businesses managing global supply chains.</t>
  </si>
  <si>
    <t>https://www.linkedin.com/company/dhp-logistics-gmbh</t>
  </si>
  <si>
    <t>https://dhp-logistics.com/</t>
  </si>
  <si>
    <t>info@dhp-logistics.com</t>
  </si>
  <si>
    <t>+49(0) 6103 9246221</t>
  </si>
  <si>
    <t>David Hirlav</t>
  </si>
  <si>
    <t>Frankfurt</t>
  </si>
  <si>
    <t>Fastcon</t>
  </si>
  <si>
    <t>fastcon-37f8</t>
  </si>
  <si>
    <t>84249b5d-04ab-4783-bef0-0dcfbd2037f8</t>
  </si>
  <si>
    <t>Logistics and supply company</t>
  </si>
  <si>
    <t>FASTCON LLC is a logistics and supply company that offers end-to-end solutions for businesses of all sizes. Our comprehensive services range from transportation, warehousing, inventory management, and distribution to global freight forwarding, customs clearance, and supply chain consulting. With years of experience and a team of seasoned professionals, we provide customized solutions that cater to the unique needs of each client. Our advanced technology and network of partners ensure seamless operations and real-time visibility throughout the supply chain. We are committed to delivering value to our clients by optimizing their logistics processes, reducing costs, and improving efficiency. Our track record of success speaks for itself, and we have earned a reputation for excellence in the industry. Whether you are a small business looking to streamline your logistics or a large corporation seeking a strategic partner to manage your global supply chain, Fastcon LLC has the expertise and resources to help you achieve your goals.</t>
  </si>
  <si>
    <t>Dar Es Salaam</t>
  </si>
  <si>
    <t>Tanzania</t>
  </si>
  <si>
    <t>AGS Logistics- oman</t>
  </si>
  <si>
    <t>ags-logistics-oman</t>
  </si>
  <si>
    <t>e5a96f79-0614-4c13-8eb0-48f08aea85d0</t>
  </si>
  <si>
    <t>AGS Logistics Oman delivers seamless freight, customs clearance, and door-to-door cargo services powered by strong global connectivity.</t>
  </si>
  <si>
    <t>Looking for a logistics partner in Oman that delivers reliability, speed, and global reach? AGS Logistics stands among the region‚Äôs most trusted names. With offices in Muscat and Sohar, AGS brings world-class logistics services‚Äîsea freight, air freight, land transport, customs clearance, warehousing, and project cargo‚Äîunder one roof. Their integrated solutions help businesses save time, reduce costs, and operate with complete peace of mind. AGS‚Äôs worldwide network of over 180 offices ensures your shipments move smoothly to any destination, while their Omani team ensures compliance with local regulations. Whether you are a growing business or a large enterprise, AGS Logistics offers the professionalism and efficiency needed to strengthen your supply chain in Oman.</t>
  </si>
  <si>
    <t>https://www.linkedin.com/company/ags-logistics-global/</t>
  </si>
  <si>
    <t>https://agslog.com/oman</t>
  </si>
  <si>
    <t>info@agslog.com</t>
  </si>
  <si>
    <t>Freight Service; Logistics; Shipping</t>
  </si>
  <si>
    <t>Pine Creek Nutrition Service</t>
  </si>
  <si>
    <t>pine-creek-nutrition-service</t>
  </si>
  <si>
    <t>fce1fbe7-8141-4c7f-bf29-8088421b4e86</t>
  </si>
  <si>
    <t>Pine Creek Nutrition Service provides dairy nutrition and herd management consulting for commercial dairy operations.</t>
  </si>
  <si>
    <t>Pine Creek Nutrition Service provides dairy nutrition and herd management consulting services for commercial dairies. The firm focuses on ration formulation, feed analysis, and nutrient balancing to support milk production and cow health. Services include ongoing performance monitoring, review of forage quality, and adjustment of feeding programs based on on-farm data. Consultants interpret production records, body condition scores, and reproduction metrics to align nutrition plans with client business goals. Pinecreek Consulting also advises on feed purchasing strategies and bunker or silo management to reduce shrink and improve consistency. Training and on-farm support help dairy teams implement feeding protocols, troubleshoot problems, and document results. Collaboration with veterinarians, agronomists, and farm managers supports coordinated decision making across the herd, crops, and feed supply chain.</t>
  </si>
  <si>
    <t>https://www.linkedin.com/company/pine-creek-nutrition-service-inc-</t>
  </si>
  <si>
    <t>https://pinecreeknutrition.com</t>
  </si>
  <si>
    <t>pinecreek@pinecreeknutrition.com</t>
  </si>
  <si>
    <t>+1 209 667 4181</t>
  </si>
  <si>
    <t>Consulting; Dairy; Livestock; Training</t>
  </si>
  <si>
    <t>Turlock</t>
  </si>
  <si>
    <t>The Packaging Hub</t>
  </si>
  <si>
    <t>the-packaging-hub</t>
  </si>
  <si>
    <t>ff1d4512-8803-fca2-fa36-86775880e93d</t>
  </si>
  <si>
    <t>The Packaging Hub provides comprehensive turnkey packaging and related supply chain solutions integrated with a Global Logistics Network.</t>
  </si>
  <si>
    <t>The Packaging Hub is a creative and innovative packaging, supply chain and logistics supplier. The solutions they offer enable their customers to concentrate on their core activity whilst they manage production of their packaging and supply globally. Their packaging solutions based business works to develop and deliver multi-faceted packs that protect their products whilst they move across the globe and also enhance the products once they reach the shelves of the retailer‚Äôs.</t>
  </si>
  <si>
    <t>http://www.linkedin.com/company/1201528</t>
  </si>
  <si>
    <t>http://www.thepackaginghub.eu/</t>
  </si>
  <si>
    <t>info@thepackaginghub.ie</t>
  </si>
  <si>
    <t>(732) 444-7078</t>
  </si>
  <si>
    <t>Waterford</t>
  </si>
  <si>
    <t>The Internect</t>
  </si>
  <si>
    <t>the-internect</t>
  </si>
  <si>
    <t>d2d5d85f-823a-472d-a032-1871b1d09fe5</t>
  </si>
  <si>
    <t>Bringing young talents and inernships together. Effortless, opportunitistic and exciting.</t>
  </si>
  <si>
    <t>Theinternect.com is an online network that matches international high school students to startup companies for interns to find internship opportunities and employers to access interns across the globe. Interns can build and upload application, be interviewed by Internect and a suitable company, then be matched up with a suitable company. Employers can post internship opportunities by inputting the company‚Äôs general information. Internect will contact companies via email or phone call to obtain internship details. Then the company will receive suitable candidates‚Äô information and conduct interviews with them. Internship categories listed on the site include IT, sales, marketing, finance and accounting, customer service, human resource, supply chain management, consumer goods, telecommunications, education, and more. Theinternect.com was launched by Millie Wang in 2019 and is based in San Francisco, United States.</t>
  </si>
  <si>
    <t>https://theinternect.com</t>
  </si>
  <si>
    <t>contact@theinternect.com</t>
  </si>
  <si>
    <t>Education; Human Resources</t>
  </si>
  <si>
    <t>HCL Express</t>
  </si>
  <si>
    <t>hcl-express</t>
  </si>
  <si>
    <t>13a0b0a4-80dd-4c43-872b-f9bf911a5203</t>
  </si>
  <si>
    <t>HCL Express provides international heavy-haul, oversized cargo transport, project forwarding, and multimodal logistics services.</t>
  </si>
  <si>
    <t>HCL Express provides international heavy-haul and oversized cargo transport with a focus on complex project logistics. The company handles out-of-gauge cargo using its own fleet of deep-loading, extendable, and low-bed trailers for heavy and non-standard loads. It organizes project cargo forwarding for production lines, factories, and large industrial equipment, coordinating multi-stage routes across Europe, Central Asia, and CIS markets. HCL Express delivers multimodal logistics solutions that combine road, sea containers, and rail transport to move cargo from various global origins. Its services also cover permits and escort coordination, including route research, special transit documentation, and escort vehicle or police convoy arrangements. In addition, the company offers related logistics management support such as warehousing, loading and lashing, and customs consultation to complete door-to-door delivery chains.</t>
  </si>
  <si>
    <t>https://ee.linkedin.com/company/hcl-express-o-</t>
  </si>
  <si>
    <t>https://www.hclex.com</t>
  </si>
  <si>
    <t>info@hclex.com</t>
  </si>
  <si>
    <t>+372 56669625</t>
  </si>
  <si>
    <t>Commercial; Consulting; Freight Service; Logistics; Shipping; Supply Chain Management; Transportation; Warehousing</t>
  </si>
  <si>
    <t>O√ú Dagazian Group</t>
  </si>
  <si>
    <t>o√º-dagazian-group</t>
  </si>
  <si>
    <t>6e774327-4fea-4812-931f-381d80c95602</t>
  </si>
  <si>
    <t>Dagazian Group imports and wholesales diamonds, fine jewelry, and watches for international trade partners.</t>
  </si>
  <si>
    <t>Dagazian Group specializes in the import and wholesale distribution of diamonds, fine jewelry, and watches for international trade partners. The company focuses on bulk and high-value transactions, supplying loose diamonds, bespoke jewelry, and branded timepieces to commercial buyers. Dagazian Group operates within a wider family network involved in emerald sourcing, gemstone cutting, and jewelry manufacturing in major trading hubs. Its role centers on facilitating cross-border circulation of jewelry and related luxury goods through established corporate relationships in the diamond trade. The company concentrates on wholesale channels rather than direct retail, targeting foreign markets and professional buyers in the jewelry sector.</t>
  </si>
  <si>
    <t>https://www.dagaziandiamonds.ee/</t>
  </si>
  <si>
    <t>krikor@dagazian.com</t>
  </si>
  <si>
    <t>+372 641 8446</t>
  </si>
  <si>
    <t>B2B; Consumer Goods; Fashion; Jewelry; Logistics; Precious Metals; Retail; Supply Chain Management; Wholesale</t>
  </si>
  <si>
    <t>O√ú Sollerta</t>
  </si>
  <si>
    <t>o√º-sollerta</t>
  </si>
  <si>
    <t>c55c6be1-41f6-4229-93f0-da2b3b79f8b5</t>
  </si>
  <si>
    <t>Sollerta is a logistics and trade company providing multimodal freight, customs services, foreign trade outsourcing, and industrial supplies</t>
  </si>
  <si>
    <t>Sollerta is a logistics and trade company that manages international cargo transportation and foreign trade operations for business customers. The company provides multimodal freight services that combine road, rail, sea, and air transport, including full loads and consolidated shipments. Its logistics offering covers cargo insurance, customs clearance, warehousing, certification of goods, and documentation support along the supply chain. Sollerta also offers foreign trade outsourcing services such as drafting international contracts, compliance with currency and customs regulations, and structuring import and export schemes. In addition, the company supplies industrial equipment, drilling and oilfield components, auto parts, and Artemia cyst products for aquaculture. These services are aimed at organizations that need structured support for cross-border trade and the movement of goods across Europe, Asia, and other regions.</t>
  </si>
  <si>
    <t>https://sollerta.eu/en/</t>
  </si>
  <si>
    <t>info@sollerta.eu</t>
  </si>
  <si>
    <t>+372 5300 0873</t>
  </si>
  <si>
    <t>Agriculture; Aquaculture; Foreign Exchange Trading; Freight Service; Industrial; Logistics; Manufacturing; Shipping; Warehousing</t>
  </si>
  <si>
    <t>Maardu</t>
  </si>
  <si>
    <t>GLOBALSAVORS LLP</t>
  </si>
  <si>
    <t>globalsavors-llp</t>
  </si>
  <si>
    <t>beb419cc-c614-4ffa-82f9-98c5b4c7056d</t>
  </si>
  <si>
    <t>Global Savors imports and distributes bulk food ingredients and personal care raw materials for industrial manufacturers.</t>
  </si>
  <si>
    <t>Global Savors is an importer, distributor, and wholesale supplier of bulk ingredients and industrial raw materials for business customers. The company serves brands and manufacturers that need consistent inputs for food, beverage, bakery, and personal care product lines. Global Savors focuses on supplying refined, bleached, and deodorized coconut oil for culinary and cosmetics applications. It also provides blanched almond flour, natural almond flour, and specialty flours and starches used in clean-label, gluten-free, and functional formulations. Its offering is designed for large-scale production facilities, food manufacturers, and bakeries that require dependable ingredient sourcing and logistics support.</t>
  </si>
  <si>
    <t>https://www.linkedin.com/company/global-savors</t>
  </si>
  <si>
    <t>https://www.globalsavors.com</t>
  </si>
  <si>
    <t>sales@globalsavors.com</t>
  </si>
  <si>
    <t>(323) 380-0649</t>
  </si>
  <si>
    <t>Agriculture; Food and Beverage; Food Processing; Logistics; Manufacturing; Retail; Supply Chain Management; Wholesale</t>
  </si>
  <si>
    <t>Edurada</t>
  </si>
  <si>
    <t>edurada</t>
  </si>
  <si>
    <t>2f8b21fb-a804-4edf-b70c-bd7ac43daf77</t>
  </si>
  <si>
    <t>Edurada manufactures wooden pallet collars and trades new and recycled wooden pallets and pallet collars.</t>
  </si>
  <si>
    <t>Edurada is a manufacturing and commercial enterprise that focuses on wooden packaging and transport solutions. The company produces new wooden pallet collars from heat-treated coniferous wood that comply with HT ISPM 15 phytosanitary standards. Edurada also manages the purchase, recycling, and resale of wooden load carriers, including certified recycled EUR pallets, one-time pallets, and used pallet collars. Its products are designed to optimize warehouse space, protect fragile goods during storage and transport, and reduce excessive packaging. Edurada serves industrial, logistics, and retail customers that require standardized wooden pallets and modular collars for regional and international freight operations.</t>
  </si>
  <si>
    <t>https://edurada.ee/en/</t>
  </si>
  <si>
    <t>info@edurada.ee</t>
  </si>
  <si>
    <t>+372 5668 2002</t>
  </si>
  <si>
    <t>Industrial; Logistics; Manufacturing; Packaging Services; Recycling; Retail; Supply Chain Management; Sustainability; Transportation; Wood Processing</t>
  </si>
  <si>
    <t>OSHINO Electronics Estonia O√ú</t>
  </si>
  <si>
    <t>oshino-electronics-estonia-o√º</t>
  </si>
  <si>
    <t>d37cbfbd-86b5-4e4e-a264-1ade905e9ef1</t>
  </si>
  <si>
    <t>OSHINO Electronics Estonia provides electronic contract manufacturing, focusing on PCB assemblies and automotive and industrial electronics.</t>
  </si>
  <si>
    <t>OSHINO Electronics Estonia provides electronic contract manufacturing services spanning product design collaboration, industrialization, sourcing, and serial production. The company focuses on surface-mount and through-hole printed circuit board assemblies, automated prototyping, and small-to-medium volume production runs. It develops and manufactures automotive interior lighting modules, micro-lighting systems, and other electronic products for automotive applications. Oshino Electronics Estonia also produces tailored sub-assemblies and box-build solutions for industrial automation, consumer electronics, communication devices, and IoT products. Its services include PCB design, firmware and software design, test equipment design and production, component sourcing, coating, final assembly, testing, and after-sales support.</t>
  </si>
  <si>
    <t>https://ee.linkedin.com/company/oshino-electronics-estonia-o%C3%BC</t>
  </si>
  <si>
    <t>https://oshino.ee</t>
  </si>
  <si>
    <t>info@oshino.ee</t>
  </si>
  <si>
    <t>+372 5342 2286</t>
  </si>
  <si>
    <t>Automotive; Consumer Electronics; Electronic Design Automation (EDA); Embedded Software; Hardware; Industrial Automation; Internet of Things; Manufacturing; Supply Chain Management</t>
  </si>
  <si>
    <t>P2M S.R.L.</t>
  </si>
  <si>
    <t>p2m-s-r-l</t>
  </si>
  <si>
    <t>7dc4b191-4e28-4d32-8384-6956a8d0337e</t>
  </si>
  <si>
    <t>P2M develops modular digital platforms for lifecycle data management and traceability of complex industrial and nautical assets.</t>
  </si>
  <si>
    <t>P2M develops modular digital platforms for lifecycle data management and traceability of complex industrial and nautical assets. The company designs software systems that collect, structure, and preserve technical and operational data across the full lifecycle of products, from production and maintenance to documentation and sustainability reporting. Its solutions use technologies such as blockchain, identification systems, RFID and NFC tags to ensure data integrity, security, and persistent traceability. P2M focuses on supporting industries that work with complex products and composite materials, including nautical and other industrial sectors that require structured documentation and compliance with ESG-related regulations. The company‚Äôs platforms are built on a common, scalable architecture intended to adapt to multiple sectors while maintaining coherent data models and informational continuity.</t>
  </si>
  <si>
    <t>https://www.p2m.it</t>
  </si>
  <si>
    <t>p2msrl@pec.it</t>
  </si>
  <si>
    <t>Blockchain; Compliance; Enterprise Software; Industrial; Internet of Things; Manufacturing; Marine Technology; Software; Supply Chain Management; Sustainability</t>
  </si>
  <si>
    <t>Forl√¨</t>
  </si>
  <si>
    <t>DJD Trading</t>
  </si>
  <si>
    <t>djd-trading</t>
  </si>
  <si>
    <t>30f37a24-053c-8e33-b673-e0c1f014461a</t>
  </si>
  <si>
    <t>Trading Company in China</t>
  </si>
  <si>
    <t>DJD is a trading company based in HK, China.  We have mainland China offices in Guangzhou and Shenzhen. We also have an international sourcing office located in Vietnam. Our mission is to provide you with the latest goods at the right price, sourced from China and the world. Our goal is to build relationships between factories and US companies. Delivering quality products in a timely manner with our global experience. When you‚Äôre looking for more than just the lowest price, we‚Äôre here for you. We promise to: Provide 24/7 customer support on weekdays. Offer our customers the right price (affordable quality). Streamline the buying and paying process. Deliver goods to our customers all over the world with speed and precision. Ensure that we are delivering the items and quality that you‚Äôve orderedGuangzhou: Apt. 3004, Building B, No. 142, Linhe Middle road, Tianhe District, Guangzhou, China. Zip: 510610</t>
  </si>
  <si>
    <t>http://www.djdtrading.net</t>
  </si>
  <si>
    <t>danny@djdtrading.net</t>
  </si>
  <si>
    <t>(86) 189-2982-2206</t>
  </si>
  <si>
    <t>Industrial Design; Logistics; Manufacturing; Supply Chain Management</t>
  </si>
  <si>
    <t>Shenzhen</t>
  </si>
  <si>
    <t>COD Confirm</t>
  </si>
  <si>
    <t>cod-confirm</t>
  </si>
  <si>
    <t>07a8155c-d049-426e-957c-fb73a48860d4</t>
  </si>
  <si>
    <t>COD Confirm provides a SaaS platform for automating cash-on-delivery order confirmation and logistics workflows for e-commerce merchants.</t>
  </si>
  <si>
    <t>COD Confirm provides a software-as-a-service platform focused on automating cash-on-delivery order confirmation and logistics workflows for e-commerce merchants. The platform triggers automated processes at checkout to send SMS confirmations that verify customer intent and delivery details before shipping. It includes address validation using Google Maps, allowing merchants to detect and correct delivery errors to reduce failed deliveries. COD Confirm offers a real-time status engine that tracks orders from creation through delivery and supports multi-country templates and configurations. The service integrates with Shopify and other systems via webhooks and warehouse export connections so orders, tags, and statuses synchronize automatically. Dedicated interfaces support teams such as call centers, fulfillment centers, and scaling COD businesses that need centralized management of confirmations, filtering of confirmed orders, and batch processing.</t>
  </si>
  <si>
    <t>https://www.codconfirm.com/</t>
  </si>
  <si>
    <t>admin@codconfirm.com</t>
  </si>
  <si>
    <t>+32 472786568</t>
  </si>
  <si>
    <t>Cloud Computing; Collaboration; E-Commerce Platforms; Enterprise Software; Logistics; Mobile; Retail Technology; SaaS; SMS; Supply Chain Management</t>
  </si>
  <si>
    <t>NTN Teenused O√ú</t>
  </si>
  <si>
    <t>ntn-teenused-o√º</t>
  </si>
  <si>
    <t>b21deb32-28f7-41c1-9602-36e29b0e9231</t>
  </si>
  <si>
    <t>NTN Teenused specializes in wholesale livestock trading and support services for animal production.</t>
  </si>
  <si>
    <t>NTN Teenused specializes in wholesale livestock trading and support activities for animal production. The company focuses on the purchase and resale of cattle, including bulls, cows, pregnant heifers, insemination-age heifers, and dairy calves. It facilitates transactions between livestock breeders, fattening farms, and commercial meat processing facilities. NTN Teenused coordinates sourcing, pricing, and logistics for culling animals going to processing plants and young animals destined for breeding or fattening. Its services are designed for agricultural holdings, livestock producers, and processors that require consistent supply and organized cattle brokerage. By concentrating on cattle categories with distinct production purposes, NTN Teenused supports both herd renewal and animal liquidation needs within the livestock value chain.</t>
  </si>
  <si>
    <t>https://ntn.ee/</t>
  </si>
  <si>
    <t>info@ntn.ee</t>
  </si>
  <si>
    <t>+372 5551 2929</t>
  </si>
  <si>
    <t>Agriculture; Farming; Food and Beverage; Livestock; Logistics; Supply Chain Management; Wholesale</t>
  </si>
  <si>
    <t>Global Marine Supply</t>
  </si>
  <si>
    <t>global-marine-supply</t>
  </si>
  <si>
    <t>f8ba1dde-4dc6-465a-bb88-ed8c52f8d46f</t>
  </si>
  <si>
    <t>Global Marine Supply provides ship supply, chandlery services, and FMCG distribution for maritime, retail, and HoReCa customers.</t>
  </si>
  <si>
    <t>Global Marine Supply is a ship supply and distribution company that serves commercial vessels and land-based customers. The company provides full-scale ship chandlery services, including provisions, bonded stores, deck and engine supplies, medical items, safety equipment, navigational systems, and hotel stores for crews. Its marine offering also covers technical spare parts, tools, hardware, and lubricants needed for onboard maintenance and operations. Beyond ship supply, Global Marine Supply runs a fast-moving consumer goods distribution business focused on food, beverages, and related products. It manages import procedures, warehousing, packaging management, and regional sales support for retail and HoReCa clients. The company coordinates logistics and supply chain processes to align deliveries with vessel schedules and customer demand across its service network.</t>
  </si>
  <si>
    <t>https://www.linkedin.com/company/global-marine-supply</t>
  </si>
  <si>
    <t>https://www.globalmar.ee</t>
  </si>
  <si>
    <t>info.tallinn@globalmar.ee</t>
  </si>
  <si>
    <t>+372 58147174</t>
  </si>
  <si>
    <t>Food and Beverage; Logistics; Marine Technology; Retail; Shipping; Supply Chain Management; Transportation; Warehouse Automation; Wholesale</t>
  </si>
  <si>
    <t>GERRY JONES TRANSPORT LTEE</t>
  </si>
  <si>
    <t>gerry-jones-transport-ltee</t>
  </si>
  <si>
    <t>1e9e0261-ef00-48e4-84b3-0e21777645b2</t>
  </si>
  <si>
    <t>Gerry Jones Transport provides road haulage, warehousing, packing, and roadside recovery services for freight customers.</t>
  </si>
  <si>
    <t>Gerry Jones Transport provides road haulage, warehousing, packing, and roadside recovery services for commercial freight customers. The company operates full and part-load road transport, handling consignments from small palletised goods to heavy loads across the UK and Europe. It offers short and long-term commercial warehousing with chilled and ambient storage, along with dry loading facilities to support varied inventory needs. Gerry Jones Transport also delivers on-site packing and co-packing services so goods can be prepared for storage or onward distribution as part of an integrated logistics operation. Its in-house workshop and 24-hour roadside recovery support the fleet, helping to maintain vehicle uptime for customer deliveries. The company focuses on end-to-end logistics support for organizations that require transport, storage, and handling under one provider.</t>
  </si>
  <si>
    <t>https://www.gerryjones.co.uk/</t>
  </si>
  <si>
    <t>enquiries@gerryjones.co.uk</t>
  </si>
  <si>
    <t>01495 240402</t>
  </si>
  <si>
    <t>Automotive; Fleet Management; Industrial; Logistics; Packaging Services; Supply Chain Management; Transportation; Warehousing</t>
  </si>
  <si>
    <t>Newport</t>
  </si>
  <si>
    <t>Osa√ºhing Trans Impex</t>
  </si>
  <si>
    <t>osa√ºhing-trans-impex</t>
  </si>
  <si>
    <t>49323284-c2e5-4ed5-8f92-e73cd520aede</t>
  </si>
  <si>
    <t>Trans Impex provides road freight transport, cargo handling, and removal services for industrial and commercial clients.</t>
  </si>
  <si>
    <t>Trans Impex provides transportation and cargo handling services for industrial and commercial clients. The company focuses on road freight transport and freight forwarding, managing the movement of shipments between corporate sites and other destinations. It offers loading, unloading, and temporary staging of goods to support industrial operations and supply chains. Trans Impex also provides removal services, helping organizations relocate equipment, inventory, and other assets. Its services are intended for businesses that require small-scale but tailored logistics support rather than large, standardized distribution networks. The company works directly with clients to plan and execute transport and handling tasks in line with specific project or contract requirements.</t>
  </si>
  <si>
    <t>http://www.transimpex.ee/</t>
  </si>
  <si>
    <t>vladimir@transimpex.ee</t>
  </si>
  <si>
    <t>+372 510 0076</t>
  </si>
  <si>
    <t>Business Process Automation (BPA); Commercial; Freight Service; Industrial; Logistics; Shipping; Supply Chain Management; Transportation; Warehousing</t>
  </si>
  <si>
    <t>Gravitas Freight Solutions Inc.</t>
  </si>
  <si>
    <t>gravitas-freight-solutions-inc</t>
  </si>
  <si>
    <t>da8ada59-b928-4f82-9388-08527916c958</t>
  </si>
  <si>
    <t>Gravitas International Logistics provides 3PL, freight forwarding, customs brokerage, warehousing, and real-time supply chain tracking.</t>
  </si>
  <si>
    <t>Gravitas International Logistics provides third-party logistics and freight forwarding services across air, ocean, rail, and domestic trucking. The company designs and manages supply chain solutions for manufacturers, distributors, and retailers that require customized multimodal transport. Its services include international freight forwarding, customs brokerage, cargo clearance, warehousing, and e-commerce fulfillment. Gravitas International Logistics also offers value-added logistics such as consolidation, routing optimization, and tailored handling requirements. The company supports operations with real-time tracking and data analytics tools that provide continuous shipment and inventory visibility. Its technology-enabled services are used to coordinate cross-border movements, comply with regulations, and improve logistics planning for global trade flows.</t>
  </si>
  <si>
    <t>https://www.gravitaslogistics.com/</t>
  </si>
  <si>
    <t>Customer Service; Data Visualization; Freight Service; Logistics; Shipping; Supply Chain Management; Transportation; Warehousing</t>
  </si>
  <si>
    <t>Sayreville</t>
  </si>
  <si>
    <t>GRDLINES PRIVATE LIMITED</t>
  </si>
  <si>
    <t>grdlines-private-limited</t>
  </si>
  <si>
    <t>1e4358f4-b9f9-47a7-aa89-1259d02a20a9</t>
  </si>
  <si>
    <t>GRD Lines exports, manufactures, and wholesales agricultural commodities and industrial mineral products.</t>
  </si>
  <si>
    <t>GRD Lines operates as a merchant exporter, manufacturer, and wholesale trader of agricultural commodities and industrial mineral products. The company manages two main divisions covering agro products and industrial raw materials. Its agro portfolio includes dry red chillies and other spices, Indian spices blends, vegetables, tea, coffee, cocoa, guar gum seeds, and related derivatives for food and agro applications. Its minerals portfolio includes white calcium carbonate powder in multiple mesh and micron grades, calcium carbonate lumps, white calcium powder, and washed silica sand for use in industrial and manufacturing processes. GRD Lines serves global buyers, B2B retailers, and industrial users that require bulk, specification-based materials with consistent quality standards. The company engages in sourcing, processing, packing, and bulk distribution to support exporters, suppliers, traders, and end-use manufacturers.</t>
  </si>
  <si>
    <t>https://in.linkedin.com/company/grd-lines-private-limited</t>
  </si>
  <si>
    <t>https://www.grdlines.co.in/</t>
  </si>
  <si>
    <t>info@grdlines.co.in</t>
  </si>
  <si>
    <t>Agriculture; B2B; Food and Beverage; Industrial; Manufacturing; Mineral; Supply Chain Management; Wholesale</t>
  </si>
  <si>
    <t>Jaipur</t>
  </si>
  <si>
    <t>GS COM</t>
  </si>
  <si>
    <t>gs-com</t>
  </si>
  <si>
    <t>0de0f0fd-4b75-44fa-83df-acb02263615c</t>
  </si>
  <si>
    <t>GS COM operates as a B2B distributor of mobile devices and telecom equipment and provides market onboarding and business advisory services.</t>
  </si>
  <si>
    <t>GS COM operates as a B2B value-added distributor of mobile devices, telecommunication hardware, network components, and related electronic accessories. The company manages procurement and distribution workflows, including supplier identification and cross-border delivery for technology hardware. GS COM supports international technology brands with product localization, regulatory compliance assistance, and structured market onboarding services. It provides training and operational support for regional client sales teams to help them handle new product lines and solutions. The company also offers business advisory and corporate management consultation that align with its logistics and distribution activities. Through these combined services, GS COM enables technology vendors to launch and scale hardware and related offerings within target European markets.</t>
  </si>
  <si>
    <t>https://gscom.ee/</t>
  </si>
  <si>
    <t>info@gscom.ee</t>
  </si>
  <si>
    <t>+372 506 7002</t>
  </si>
  <si>
    <t>B2B; Business Information Systems; Consulting; Consumer Electronics; Logistics; Mobile; Network Hardware; Supply Chain Management; Telecommunications</t>
  </si>
  <si>
    <t>Desiccants And Dunnage Airbags</t>
  </si>
  <si>
    <t>desiccants-and-dunnage-airbags</t>
  </si>
  <si>
    <t>b48c7d3e-4c21-4907-b2f0-7ec75e598dbe</t>
  </si>
  <si>
    <t>Desiccants And Dunnage Airbags supplies desiccants, dunnage airbags, and VCI-based packaging solutions for cargo damage prevention.</t>
  </si>
  <si>
    <t>Desiccants And Dunnage Airbags specializes in products that prevent cargo damage during transport that is not covered by insurance. The company focuses on wholesale distribution of desiccants, dunnage airbags, and VCI-based packaging materials used to control moisture, prevent corrosion, and stabilize loads. It serves cargo owners, consolidators, and industrial and logistics companies that ship goods by sea and land. Its portfolio includes calcium chloride-based desiccants for containers and packaging, silica gel and clay desiccants for industrial and defense applications, and inflatable dunnage bags for securing pallets and bulk loads. The company is the official representative and distributor in the Baltic states for brands such as Absortech AbsorGel, Bates Cargo-Pak, Truguard, and Cargopack. It supports customers in selecting appropriate moisture control and cargo securing solutions for different cargo types, transport routes, and packaging systems.</t>
  </si>
  <si>
    <t>https://www.sensei.eu</t>
  </si>
  <si>
    <t>sensei@sensei.eu</t>
  </si>
  <si>
    <t>Chemical; Consulting; Environmental Consulting; Industrial; Logistics; Packaging Services; Shipping; Supply Chain Management; Wholesale</t>
  </si>
  <si>
    <t>by Maxton</t>
  </si>
  <si>
    <t>by-maxton</t>
  </si>
  <si>
    <t>f08e769e-5843-4ffa-b01b-47e1de1fc0a2</t>
  </si>
  <si>
    <t>by Maxton provides wholesale trade services for various goods sourced from Asia and Europe.</t>
  </si>
  <si>
    <t>by Maxton provides wholesale trade services focused on supplying goods across various product groups. The company sources products from Asia and Europe and manages the end-to-end supply process for its customers. It organizes procurement, coordinates logistics, and oversees product quality control at factories or assembly plants. by Maxton communicates with partners and clients in multiple languages to support international trade transactions. Its services are intended for businesses that require sourcing and distribution of diverse goods through established supply chains.</t>
  </si>
  <si>
    <t>https://www.maxton.ee/</t>
  </si>
  <si>
    <t>maxton@maxton.ee</t>
  </si>
  <si>
    <t>Business Information Systems; E-Commerce; Logistics; Packaging Services; Procurement; Supply Chain Management; Wholesale</t>
  </si>
  <si>
    <t>Priit Rebane</t>
  </si>
  <si>
    <t>priit-rebane</t>
  </si>
  <si>
    <t>63efeaed-0ddb-4691-84fa-d26cbf851896</t>
  </si>
  <si>
    <t>Priit Rebane focuses on mixed farming with an emphasis on cultivating and selling organic vegetables.</t>
  </si>
  <si>
    <t>Priit Rebane focuses on mixed farming activities within the agriculture, forestry, and fishing sectors. The company centers its operations on the cultivation, production, and sale of organic vegetables. It provides fresh produce that is intended for consumers seeking vegetables grown using organic methods. Operations include managing small-scale agricultural fields, handling planting and harvesting, and preparing products for sale to local buyers. The business structure as a sole proprietorship means decision-making, production planning, and commercial activities are managed by a single owner. The company maintains its own basic supply and distribution arrangements to bring its vegetables to market. It functions as a localized primary producer within the broader agricultural supply chain.</t>
  </si>
  <si>
    <t>https://priitrebane.eu</t>
  </si>
  <si>
    <t>priitrebane86@gmail.com</t>
  </si>
  <si>
    <t>+372 5349 0598</t>
  </si>
  <si>
    <t>Agriculture; Farming; Food and Beverage; Local; Organic Food; Supply Chain Management</t>
  </si>
  <si>
    <t>MEDICAL SADHAN PRIVATE LIMITED</t>
  </si>
  <si>
    <t>medical-sadhan-private-limited</t>
  </si>
  <si>
    <t>7a8f464c-7655-4b58-8147-b6acd9dfb6c0</t>
  </si>
  <si>
    <t>Medical Sadhan operates a B2B digital network and wholesale platform for pharmaceutical and medical supplies distribution.</t>
  </si>
  <si>
    <t>Medical Sadhan operates a B2B digital network and wholesale platform for pharmaceutical and medical supplies distribution. The company focuses on streamlining procurement for medical stores, hospitals, clinics, pharma agencies, and distributors through direct digital ordering. Its platform replaces phone-based, manual processes with structured electronic orders, real-time order tracking, and live stock visibility. Medical Sadhan positions its service as a healthcare connectivity layer that reduces communication gaps, order errors, and time spent coordinating deliveries. Suppliers use the system to receive, accept, or reject orders while retaining control over pricing and stock decisions. Buyers use it to place orders instantly, avoid busy phone lines, and reduce operational workload. The organization concentrates on improving reliability and efficiency across the healthcare supply chain by unifying stakeholders in a single digital network.</t>
  </si>
  <si>
    <t>https://www.medicalsadhan.com/</t>
  </si>
  <si>
    <t>medicalsadhan@gmail.com</t>
  </si>
  <si>
    <t>B2B; Cloud Computing; Enterprise Software; Health Care; Medical; Pharmaceutical; Supply Chain Management; Wholesale</t>
  </si>
  <si>
    <t>Dhamtari</t>
  </si>
  <si>
    <t>ME Group Baltic O√ú</t>
  </si>
  <si>
    <t>me-group-baltic-o√º</t>
  </si>
  <si>
    <t>a24393ee-8cc0-4913-b682-27c2bc151557</t>
  </si>
  <si>
    <t>ME Group Baltic provides excise warehouse, storage, and logistics services for alcohol, tobacco, and other excise goods.</t>
  </si>
  <si>
    <t>ME Group Baltic provides excise warehouse, storage, and logistics services for alcohol, tobacco, and other excise goods. The company manages reception, storage, and dispatch of alcoholic beverages and tobacco products in accordance with applicable laws and tax authority requirements. Its services include excise and domestic warehouse operations, temporary and long-term storage, and controlled temperature and humidity warehousing. ME Group Baltic handles goods receipt and documentation, quantity and condition checks, sorting, picking, and preparation of orders. It also provides repackaging, labelling, marking, and electronic warehouse accounting with regular inventory and traceability for excise goods. Through these services, the company supports clients that trade and distribute regulated excise products.</t>
  </si>
  <si>
    <t>http://www.megroup.ee</t>
  </si>
  <si>
    <t>Customer Service; Food and Beverage; Logistics; Shipping; Supply Chain Management; Tobacco; Transportation; Warehousing; Wine And Spirits</t>
  </si>
  <si>
    <t>10 Distribution Group</t>
  </si>
  <si>
    <t>10-distribution-group</t>
  </si>
  <si>
    <t>e6cf55ce-4363-4a89-a33a-80b4050a9c1d</t>
  </si>
  <si>
    <t>10 Distribution Group provides warehousing, cold chain logistics, packing, dropshipping, and outsourced accounting services.</t>
  </si>
  <si>
    <t>10 Distribution Group provides logistics, warehousing, and fulfillment services with a focus on temperature-controlled storage. The company operates frozen food warehousing for deep-freeze items such as meat products and chilled food warehousing for perishable goods like fruits and vegetables. It offers packing and dropshipping services that support domestic distribution and international freight to destinations inside and outside the European Union. 10 Distribution Group manages order fulfillment tasks such as pick and pack to support third-party businesses. In addition to logistics activities, it provides outsourced bookkeeping and accounting services for small external firms. Its operations target clients that need integrated cold chain logistics, storage, and administrative support for their goods and supply chains.</t>
  </si>
  <si>
    <t>https://10dg.eu/</t>
  </si>
  <si>
    <t>info@10dg.eu</t>
  </si>
  <si>
    <t>+372 606 6000</t>
  </si>
  <si>
    <t>Accounting; Food and Beverage; Logistics; Outsourcing; Supply Chain Management; Transportation; Warehousing</t>
  </si>
  <si>
    <t>ASAP Delivery Services &amp; Solutions</t>
  </si>
  <si>
    <t>asap-delivery-services-solutions</t>
  </si>
  <si>
    <t>33a87aa8-1d00-4145-9d53-c32f97ba4df1</t>
  </si>
  <si>
    <t>ASAP Delivery Services &amp; Solutions offers transportation, logistics, and supply chain management services.</t>
  </si>
  <si>
    <t>https://www.linkedin.com/company/asap-delivery-company</t>
  </si>
  <si>
    <t>https://www.asap-lb.com</t>
  </si>
  <si>
    <t>sales@asap-lb.com</t>
  </si>
  <si>
    <t>+961 81 008 776</t>
  </si>
  <si>
    <t>Delivery Service; Logistics; Transportation</t>
  </si>
  <si>
    <t>Beirut</t>
  </si>
  <si>
    <t>Lebanon</t>
  </si>
  <si>
    <t>SECOND ORDER AI LTD</t>
  </si>
  <si>
    <t>second-order-ai-ltd</t>
  </si>
  <si>
    <t>7908dafe-b640-4b7f-8a9e-ba63aa622c2c</t>
  </si>
  <si>
    <t>Second Order AI provides AI-driven tender analytics, decision intelligence, and logistics optimization solutions.</t>
  </si>
  <si>
    <t>Second Order AI specializes in tender and bid analytics combined with decision intelligence. The company focuses on optimizing complex procurement workflows from defining bid strategy through to final submission using responsible artificial intelligence and operational science. Its approach emphasizes data-driven evidence such as models, scorecards, gap assessments, and map visualisations to strengthen tender responses. Second Order AI compiles evaluation data from historical public records obtained through Freedom of Information requests to provide realistic scoring benchmarks. It also performs independent AI evaluations by running bids across multiple model families to identify weaknesses before evaluation panels do. Beyond procurement, Second Order AI develops solutions for logistics and street-service optimization where complex routing and sequential network servicing are required.</t>
  </si>
  <si>
    <t>https://uk.linkedin.com/company/secondorder-ai</t>
  </si>
  <si>
    <t>https://second-order.ai/</t>
  </si>
  <si>
    <t>info@second-order.ai</t>
  </si>
  <si>
    <t>Artificial Intelligence (AI); Data Visualization; Enterprise Software; Logistics; Machine Learning; Procurement; Public Safety; Software; Supply Chain Management</t>
  </si>
  <si>
    <t>QuoIntelligence</t>
  </si>
  <si>
    <t>quointelligence</t>
  </si>
  <si>
    <t>fa553d84-a36c-4b97-b321-5b8a7511b9ff</t>
  </si>
  <si>
    <t>QuoIntelligence provides risk intelligence services that help organizations respond to cyber, geopolitical, and operational threats.</t>
  </si>
  <si>
    <t>QuoIntelligence provides cybersecurity and risk intelligence services that help organizations identify, analyze, and respond to cyber, geopolitical, and operational threats. The company delivers ‚Äúthreat intelligence as a service,‚Äù combining an AI-driven platform with human analysts to transform raw data into contextualized insights and actionable recommendations. Its platform, Mercury, aggregates and processes information from multiple sources to monitor cyber threats, vulnerabilities, and external risks such as supply chain exposure and geopolitical developments. It supports functions including digital risk protection, attack surface monitoring, and threat detection, enabling organizations to prioritize mitigation efforts and allocate security resources effectively. QuoIntelligence also provides tailored intelligence reports and continuous monitoring services that align with regulatory frameworks such as NIS2 and DORA, supporting compliance and risk management strategies. Its approach emphasizes ‚Äúfinished intelligence,‚Äù where insights are curated, validated, and contextualized before delivery, rather than providing raw data feeds. It serves enterprises, financial institutions, and public sector organizations that require structured intelligence to manage cybersecurity risks, enhance resilience, and support informed decision-making across complex digital environments.</t>
  </si>
  <si>
    <t>https://www.linkedin.com/company/quointelligence</t>
  </si>
  <si>
    <t>https://quointelligence.eu</t>
  </si>
  <si>
    <t>investor.relations@quointelligence.eu</t>
  </si>
  <si>
    <t>+49 69 33 99 79 38</t>
  </si>
  <si>
    <t>Marco Riccardi</t>
  </si>
  <si>
    <t>Artificial Intelligence (AI); Compliance; Cyber Security; Enterprise Software; Machine Learning; Risk Management; SaaS</t>
  </si>
  <si>
    <t>HELROM Trailer rail</t>
  </si>
  <si>
    <t>helrom-trailer-rail</t>
  </si>
  <si>
    <t>7086ff6e-6769-4f06-80eb-150be737d226</t>
  </si>
  <si>
    <t>HELROM is a fully operational vertically integrated cargo railway company that provides dependable transportation services.</t>
  </si>
  <si>
    <t>HELROM is a fully operational vertically integrated cargo railway company that provides dependable transportation services for semi-trailers from hub to hub.</t>
  </si>
  <si>
    <t>https://www.linkedin.com/company/helrom-gmbh</t>
  </si>
  <si>
    <t>https://www.helrom.com</t>
  </si>
  <si>
    <t>Traxpay</t>
  </si>
  <si>
    <t>traxpay</t>
  </si>
  <si>
    <t>22c94a41-f0a0-002f-ce92-7268bc33f9b6</t>
  </si>
  <si>
    <t>Fast-growing Supply Chain Finance platform operating globally with a multi-bank approach: simple, secure &amp; sustainable working capital.</t>
  </si>
  <si>
    <t>Traxpay is a fast-growing Supply Chain Finance platform that operates globally from Europe with a multi-bank approach. With the mission to become the "Platform of Choice" for buyers, suppliers and banks, Traxpay enables companies to manage their working capital in a simple, secure and sustainable way using all standard Supply Chain Finance tools.  Established financial institutions such as Deutsche Bank, DZ Bank, Nord/LB, LBBW or KfW IPEX-Bank trust Traxpay's financing solution and maintain strategic partnerships with the company. Through a new Sustainable Supply Chain Finance program, platform users can financially incentivize the sustainability of their supply chains</t>
  </si>
  <si>
    <t>http://www.linkedin.com/company/2660872</t>
  </si>
  <si>
    <t>http://www.traxpay.com</t>
  </si>
  <si>
    <t>birgit.hass@traxpay.com</t>
  </si>
  <si>
    <t>+49 69 5977 2150</t>
  </si>
  <si>
    <t>Markus Rupprecht</t>
  </si>
  <si>
    <t>B2B; Finance; Financial Services; FinTech; Payments</t>
  </si>
  <si>
    <t>engineering; operations; sales</t>
  </si>
  <si>
    <t>Nimbus Health</t>
  </si>
  <si>
    <t>nimbus-health-79ad</t>
  </si>
  <si>
    <t>98c89f37-979a-44b7-b8df-dc1302f279ad</t>
  </si>
  <si>
    <t>Medical Cannabis, Cannabis, Cannabis Logistics, Digital Pharmaceutical Wholesaler</t>
  </si>
  <si>
    <t>Nimbus Health is a licensed, entirely digitalised and vertically integrated wholesaler focused on the import and distribution of highest medical grade cannabis. With an annual distribution capacity of 22t, exclusive supplier agreements with some of the leading producers as well as a wholly-owned supply chain, Nimbus ranks amongst the top 10 distributors in Germany.</t>
  </si>
  <si>
    <t>https://www.linkedin.com/company/nimbushealth/</t>
  </si>
  <si>
    <t>http://www.nimbus.health</t>
  </si>
  <si>
    <t>Alessandro Rossoni; Anji Reddy; Linus Maximilian Weber</t>
  </si>
  <si>
    <t>Cannabis</t>
  </si>
  <si>
    <t>Algrid</t>
  </si>
  <si>
    <t>algrid</t>
  </si>
  <si>
    <t>665fe12c-fd9b-48c8-85ed-54f2936bf9b9</t>
  </si>
  <si>
    <t>Algrid is a Transforming Drifting Sargassum into a Global Resource.</t>
  </si>
  <si>
    <t>Algrid is a Transforming Drifting Sargassum into a Global Resource.They convert coastal sargassum threats into sustainable biomass using advanced ocean monitoring, unmanned systems, and precise forecasting. They delivers a consistent, efficient, traceable supply chain. Global industries receive reliable raw materials from this abundant natural resource.</t>
  </si>
  <si>
    <t>https://www.linkedin.com/company/algrid</t>
  </si>
  <si>
    <t>https://algrid.tech</t>
  </si>
  <si>
    <t>SolarTraders</t>
  </si>
  <si>
    <t>solartraders</t>
  </si>
  <si>
    <t>cc719498-8178-b891-de4d-ce0ae4bee765</t>
  </si>
  <si>
    <t>Leading Photovoltaik Business Plattform (Trade). Disrupting the traditional distribution system by connecting manufacturers and installers.</t>
  </si>
  <si>
    <t>SolarTraders is a data-driven B2B marketplace that digitalizes solar procurement across Europe. Founded in 2011 and fully bootstrapped, SolarTraders connects verified installers and distributors to trade photovoltaic modules, inverters, and storage systems in real time. Through its proprietary price-comparison engine and escrow-based transaction layer, the platform brings transparency and efficiency to a historically fragmented PV supply chain. SolarTraders leverages 14 years of market data and pricing intelligence to enable faster sourcing decisions, competitive benchmarking, and seamless order management for professional buyers and sellers. By combining marketplace technology with industry insight, SolarTraders is shaping the digital backbone of Europe‚Äôs solar trade ‚Äî empowering partners to scale sustainably in one of the world‚Äôs most dynamic clean-energy markets.</t>
  </si>
  <si>
    <t>https://www.linkedin.com/company/solartraders-com/</t>
  </si>
  <si>
    <t>http://www.solartraders.com</t>
  </si>
  <si>
    <t>+49(0)69 175 36 99-60</t>
  </si>
  <si>
    <t>Frederic Drouard</t>
  </si>
  <si>
    <t>B2B; Generative AI; Marketplace; Renewable Energy; Solar; Trading Platform</t>
  </si>
  <si>
    <t>Care 4 Cargo</t>
  </si>
  <si>
    <t>care-4-cargo</t>
  </si>
  <si>
    <t>3e3ce5a3-1bc7-4381-87b6-b2e79970abf1</t>
  </si>
  <si>
    <t>Care 4 Cargo is a transportation and logistics firm that provides air transportation, freight, and supply chain services.</t>
  </si>
  <si>
    <t>https://www.linkedin.com/company/care-4-cargo-gmbh</t>
  </si>
  <si>
    <t>https://care4cargo.com</t>
  </si>
  <si>
    <t>info@care4cargo.com</t>
  </si>
  <si>
    <t>49 (0) 69 8088 3729</t>
  </si>
  <si>
    <t>Air Transportation; Freight Service; Supply Chain Management</t>
  </si>
  <si>
    <t>Mede Q</t>
  </si>
  <si>
    <t>mede-q</t>
  </si>
  <si>
    <t>1f6ae6c0-5619-4d12-a8f7-d294d678eae5</t>
  </si>
  <si>
    <t>Mede Q is a retail company that supplies medical equipment and devices, such as respirator masks and antigen tests.</t>
  </si>
  <si>
    <t>https://www.linkedin.com/company/mede-q-gmbh/</t>
  </si>
  <si>
    <t>https://www.mede-q.de/</t>
  </si>
  <si>
    <t>info@angelaq.de</t>
  </si>
  <si>
    <t>+49 (0) 69 95635730</t>
  </si>
  <si>
    <t>Consumer Goods; Medical Device; Retail; Supply Chain Management</t>
  </si>
  <si>
    <t>Mediacraft</t>
  </si>
  <si>
    <t>mediacraft-9d30</t>
  </si>
  <si>
    <t>f4d3a76b-198d-4632-8931-dfaa787a9d30</t>
  </si>
  <si>
    <t>Mediacraft is a distribution company that supplies and installs speakers, amplifiers, lift systems, AV accessories, and audio products.</t>
  </si>
  <si>
    <t>https://www.linkedin.com/company/mediacraftag/</t>
  </si>
  <si>
    <t>https://mediacraft.de</t>
  </si>
  <si>
    <t>info@mediacraft.de</t>
  </si>
  <si>
    <t>Audio; Electronics; Supply Chain Management</t>
  </si>
  <si>
    <t>FrischeParadies</t>
  </si>
  <si>
    <t>frischeparadies</t>
  </si>
  <si>
    <t>fc8f2e78-f04b-47ec-8b12-a15480768cd6</t>
  </si>
  <si>
    <t>FrischeParadies engages in the specialty market and supplier of the finest food.</t>
  </si>
  <si>
    <t>https://www.linkedin.com/company/frischeparadies</t>
  </si>
  <si>
    <t>https://www.frischeparadies.de/</t>
  </si>
  <si>
    <t>bestellung-berlin@frischeparadies.de</t>
  </si>
  <si>
    <t>49 (0) 69 351026-0</t>
  </si>
  <si>
    <t>Food and Beverage; Supply Chain Management</t>
  </si>
  <si>
    <t>BestDeal Moving Frankfurt am Main</t>
  </si>
  <si>
    <t>bestdeal-moving-frankfurt-am-main</t>
  </si>
  <si>
    <t>126d4cd4-4db2-46ad-9703-c33665843d1a</t>
  </si>
  <si>
    <t>BestDeal Moving Frankfurt am Main is a booked moving company that offers office moves, furniture assembly, and packing material services.</t>
  </si>
  <si>
    <t>https://linkedin.com/company/bestdeal-umzug-frankfurt-am-main</t>
  </si>
  <si>
    <t>https://www.bestdeal-umzug.de</t>
  </si>
  <si>
    <t>info@bestdeal-umzug.de</t>
  </si>
  <si>
    <t>+49 069 24 76 51 29</t>
  </si>
  <si>
    <t>Packaging Services; Supply Chain Management; Transportation</t>
  </si>
  <si>
    <t>OneSpot</t>
  </si>
  <si>
    <t>onespot-f368</t>
  </si>
  <si>
    <t>20e8f691-9ba4-4824-92f7-5d55d34bf368</t>
  </si>
  <si>
    <t>Urban delivery network operator</t>
  </si>
  <si>
    <t>OneSpot is on a mission to lead the way in sustainable city logistics. We operate a bike-delivery and urban real estate network to streamline supply chains across industries, cutting emissions by up to 78% per shipment. Driven by tech, we offer a combination of 30 min on-demand and scheduled delivery options for our customers from DTC brands and eCommerce shops to facility managers and the gastronomy industry.</t>
  </si>
  <si>
    <t>https://www.linkedin.com/company/one-spot-startup/</t>
  </si>
  <si>
    <t>https://www.one-spot.de/</t>
  </si>
  <si>
    <t>welcome@one-spot.de</t>
  </si>
  <si>
    <t>Last Mile Transportation; Logistics; Same Day Delivery; Supply Chain Management</t>
  </si>
  <si>
    <t>Negin Food</t>
  </si>
  <si>
    <t>negin-food</t>
  </si>
  <si>
    <t>23939eb7-d11c-4ed7-a233-31ae8f69515b</t>
  </si>
  <si>
    <t>Negin Food supplies and distributes all Iranian food, general and partial Iranian products.</t>
  </si>
  <si>
    <t>http://www.neginfood.com/</t>
  </si>
  <si>
    <t>info@neginfood.com</t>
  </si>
  <si>
    <t>49-69-24006625</t>
  </si>
  <si>
    <t>Food and Beverage; Food Delivery; Supply Chain Management</t>
  </si>
  <si>
    <t>Frankfurt 365</t>
  </si>
  <si>
    <t>frankfurt-365</t>
  </si>
  <si>
    <t>ff6b3519-2aa6-4db2-af79-9f41554c99d4</t>
  </si>
  <si>
    <t>Frankfurt 365 is a logistics company that offers supply chain management, air freight, warehousing, and outsourcing services.</t>
  </si>
  <si>
    <t>https://www.linkedin.com/company/frankfurt-365-gmbh/</t>
  </si>
  <si>
    <t>http://www.fra.gmbh/</t>
  </si>
  <si>
    <t>ay@fra.gmbh</t>
  </si>
  <si>
    <t>+49 (0)69 348 716 41 0</t>
  </si>
  <si>
    <t>Logistics; Outsourcing; Supply Chain Management; Warehousing</t>
  </si>
  <si>
    <t>I&amp;R Service</t>
  </si>
  <si>
    <t>i-r-service</t>
  </si>
  <si>
    <t>c6339d58-dec9-4956-888f-f8ce7a0011be</t>
  </si>
  <si>
    <t>I&amp;R Service is an inventory service company that provides tax, clearance, and warehouse inventory services.</t>
  </si>
  <si>
    <t>https://www.linkedin.com/company/i-&amp;-r-service-gmbh</t>
  </si>
  <si>
    <t>https://iur-service.de</t>
  </si>
  <si>
    <t>info@iur-service.de</t>
  </si>
  <si>
    <t>+49 0 69 45 00 21 10</t>
  </si>
  <si>
    <t>Sunhat</t>
  </si>
  <si>
    <t>sunhat</t>
  </si>
  <si>
    <t>31787ceb-6483-4aef-9403-8089f8a2a7a3</t>
  </si>
  <si>
    <t>Sunhat is an automation tool that combines software engineering and sustainability expertise to help supply chain businesses.</t>
  </si>
  <si>
    <t>Sunhat is an automation tool that combines software engineering and sustainability expertise to help supply chain businesses meet their sustainability goals. It automates the processing of sustainability questionnaires and ESG ratings for suppliers.</t>
  </si>
  <si>
    <t>https://www.linkedin.com/company/sunhat-software</t>
  </si>
  <si>
    <t>https://www.getsunhat.com</t>
  </si>
  <si>
    <t>Lukas Vogt</t>
  </si>
  <si>
    <t>Business Information Systems; Consumer Software; Software</t>
  </si>
  <si>
    <t>Cologne</t>
  </si>
  <si>
    <t>engineering; finance; management; marketing; operations</t>
  </si>
  <si>
    <t>Ordio</t>
  </si>
  <si>
    <t>ordio</t>
  </si>
  <si>
    <t>92501301-688f-47af-ac2c-f554193233ed</t>
  </si>
  <si>
    <t>Deskless Workforce Management</t>
  </si>
  <si>
    <t>Building the Category Leader for Deskless Workforce Management. All processes digitally optimized by Ordio lead to time savings, cost reduction &amp; effectiveness - in an industries with increasing administrative burden and suffering core business.</t>
  </si>
  <si>
    <t>https://www.linkedin.com/company/ordio</t>
  </si>
  <si>
    <t>https://www.ordio.com</t>
  </si>
  <si>
    <t>david@ordio.com</t>
  </si>
  <si>
    <t>David Keuenhof; Gregor Pilz</t>
  </si>
  <si>
    <t>Information Technology; Marketing; Mobile Apps; Software; Supply Chain Management</t>
  </si>
  <si>
    <t>engineering; information_technology; management; marketing; product; sales</t>
  </si>
  <si>
    <t>Movinga</t>
  </si>
  <si>
    <t>movinga</t>
  </si>
  <si>
    <t>98382cc6-f70a-28e6-6ce4-9de13a713573</t>
  </si>
  <si>
    <t>Movinga is an online relocation service provider company.</t>
  </si>
  <si>
    <t>Movinga makes your move easy and stress-free. With just a few clicks, you'll receive your personal fixed-price quote from us: transparent, fair, and simple. No hidden costs. No nasty surprises. Movinga proves that quality and reliability don't have to be expensive. Movinga's moving service includes comprehensive advice from a personal relocation advisor, loading and transport done by a dedicated removal team and transport insurance, enabling customers to avail of the service at an affordable rate.</t>
  </si>
  <si>
    <t>https://www.linkedin.com/company/movinga-gmbh/</t>
  </si>
  <si>
    <t>https://www.movinga.com</t>
  </si>
  <si>
    <t>service@moveagain.de</t>
  </si>
  <si>
    <t>Bastian Knutzen; Chris Maslowski; Finn Age Haensel</t>
  </si>
  <si>
    <t>Internet; Logistics; Service Industry; Small and Medium Businesses; Supply Chain Management</t>
  </si>
  <si>
    <t>ONIQ</t>
  </si>
  <si>
    <t>oniq</t>
  </si>
  <si>
    <t>b9ac7996-dbbe-4ceb-9985-fd7ec6020f1c</t>
  </si>
  <si>
    <t>Enabling next level productivity gains through digital lean manufacturing and end-to-end process transparency.</t>
  </si>
  <si>
    <t>ONIQ's IQ/A software empowers Digital Lean by automatically generating a digital process twin of manufacturing and logistics processes. IQ/A enables the holistic analysis and improvement of corporate value streams. It helps eliminating process inefficiencies, identifying root causes for quality issues and reducing the carbon footprint. IQ/A leverages IT and OT data from existing enterprise IT systems and integrates seamlessly into the existing IT infrastructure. Top 250k Enrichment Emp Range Freshness 2024 - Not Found</t>
  </si>
  <si>
    <t>https://www.linkedin.com/company/oniq-gmbh/</t>
  </si>
  <si>
    <t>https://www.oniq.com/</t>
  </si>
  <si>
    <t>contact@oniq.com</t>
  </si>
  <si>
    <t>Christoph Kosmehl; Yvonne Therese Mertens</t>
  </si>
  <si>
    <t>Application Performance Management; Manufacturing; Predictive Analytics; SaaS; Software; Supply Chain Management</t>
  </si>
  <si>
    <t>engineering; management; marketing; product</t>
  </si>
  <si>
    <t>MBS Logistics</t>
  </si>
  <si>
    <t>mbs-logistics</t>
  </si>
  <si>
    <t>656f857e-572c-4983-85d3-8ab958d2977f</t>
  </si>
  <si>
    <t>MBS Logistics engages in supply chain and logistics services.</t>
  </si>
  <si>
    <t>https://www.linkedin.com/company/mbslogistics/</t>
  </si>
  <si>
    <t>https://www.mbslogistics.com</t>
  </si>
  <si>
    <t>info@mbslogistics.com</t>
  </si>
  <si>
    <t>49-2203-9338-0</t>
  </si>
  <si>
    <t>human_resources; management; marketing; operations; sales</t>
  </si>
  <si>
    <t>Freightly</t>
  </si>
  <si>
    <t>freightly</t>
  </si>
  <si>
    <t>6741a972-cca2-2b9b-ce33-e76fcca396b3</t>
  </si>
  <si>
    <t>Freightly is a real-time logistics &amp; transport management system.</t>
  </si>
  <si>
    <t>Freightly TMS (transport management system) combines IT with expertise in the logistics sector and will digitalize your company ‚Äì depending on your requirements, easily and accessible from anywhere. At Freightly TMS, we have the vision of making logistics digital in order to enable access at any time. With the aid of our smart data analysis techniques, it is possible to make qualified decisions more quickly. The management of logistics services is fundamentally simplified, and complex tasks are optimized. Information and document exchange with your forwarding agents, shipping lines and airlines is a key element of Freightly TMS. Freightly TMS covers all your logistics processes, from procurement and shipping to billing, to form a cloud-based solution aimed at reducing volatility within the supply chain and open up the opportunity to enter the age of digitalization. Every decision in the shipping process, from booking and documentation to payment, is supported by our intelligent database processes. Recurring work steps are automated, saving you enormous amounts of time. Freightly TMS also offers the possibility of live tracking your shipments and real-time checking for changes in freight prices or previously negotiated rates. Use our statistics and analysis tools to recognize trends in the market and react to them. We are a new form of logistics ‚Äì from the bottom up for quick and qualified decisions for all those involved in the supply chain. Check out our Freightly advantages &amp; modules: + digital freight purchase + white-label-solution + reports / statistics + real-time tracking / diver app + route management / disposition + parcel shipping + article PO management + airline management + carrier matching + warehouse management  + work planning + ocean carrier management + SAP / ERP interface + freight rates upload + customer login + manage multiple locations + supplier login</t>
  </si>
  <si>
    <t>https://www.linkedin.com/company/5264962/</t>
  </si>
  <si>
    <t>http://freightly.com/</t>
  </si>
  <si>
    <t>info@freightly.com</t>
  </si>
  <si>
    <t>Logistics</t>
  </si>
  <si>
    <t>Aparkado</t>
  </si>
  <si>
    <t>aparkado</t>
  </si>
  <si>
    <t>91c6abc3-8aa2-406e-9d78-641ba282f64f</t>
  </si>
  <si>
    <t>We launched the LKW.APP to empower truck drivers in their everyday life by leveraging an innovative app.</t>
  </si>
  <si>
    <t>There is currently a shortage of over 70,000 truck drivers in Germany. If too many drivers are missing, supply chains cannot be maintained, and the supply chain is interrupted. One of the causes of the driver shortage is poor working conditions. For this reason, we have launched the LKW.APP with aparkado to provide truck drivers with better working conditions by simplifying their daily routine with the help of an innovative app. The LKW.APP includes an intelligent parking guidance system with over 20,000 listed parking spaces including on-site services. A unique feature is the parking space utilization display. The loading ramp guide provides valuable information about the loading ramps of the companies. With the LKW.APP, we want to ensure safe transportation, where drivers can spend relaxing breaks along the highway. The app's features are designed to display helpful information that they can use to optimize their workday. Not only is this convenient, but it also increases safety on the roads, as the app can warn drivers of dangerous conditions and keep them updated on any traffic-related issues. In addition, the trucker app also helps improve working conditions by highlighting grievances and encouraging improvements. Nothing works without truck drivers. We are convinced of this and are committed to improving the professional lives of the drivers.</t>
  </si>
  <si>
    <t>https://www.linkedin.com/company/aparkado/</t>
  </si>
  <si>
    <t>https://lkw.app</t>
  </si>
  <si>
    <t>info@aparkado.de</t>
  </si>
  <si>
    <t>Philipp Henn; Roland Moussavi</t>
  </si>
  <si>
    <t>Hiscale</t>
  </si>
  <si>
    <t>hiscale</t>
  </si>
  <si>
    <t>fa9e43c1-7f41-4d0d-b4f0-dfd69495f02f</t>
  </si>
  <si>
    <t>Hiscale is a software development company.</t>
  </si>
  <si>
    <t>Hiscale designs and develops high-performance, scalable software products for the expanding markets of video preparation, conversion and distribution. Hiscale enables flexible business models with cloud-based, local and hybrid consumption of technology as managed services. As an integral part of your media delivery supply chain, the Hiscale products support usage &amp; subscription-based operation.</t>
  </si>
  <si>
    <t>https://www.linkedin.com/company/hiscale/</t>
  </si>
  <si>
    <t>https://www.hiscale.com/</t>
  </si>
  <si>
    <t>info@hiscale.com</t>
  </si>
  <si>
    <t>+49 221 4232 4560</t>
  </si>
  <si>
    <t>Productivity Tools; Service Industry; Software</t>
  </si>
  <si>
    <t>Eureca</t>
  </si>
  <si>
    <t>eureca-d257</t>
  </si>
  <si>
    <t>2113569a-ceb0-425b-98a1-5313847ad257</t>
  </si>
  <si>
    <t>Eureca is a distribution company that supplies optoelectronics, optics, filters, cooling, and base component products.</t>
  </si>
  <si>
    <t>https://www.linkedin.com/company/eureca-messtechnik-gmbh/</t>
  </si>
  <si>
    <t>https://www.eureca.de</t>
  </si>
  <si>
    <t>info@eureca.de</t>
  </si>
  <si>
    <t>Advice; Electronics; Supply Chain Management</t>
  </si>
  <si>
    <t>engineering; finance; human_resources; marketing; pro_services; sales</t>
  </si>
  <si>
    <t>IotaOrigin</t>
  </si>
  <si>
    <t>iotaorigin</t>
  </si>
  <si>
    <t>33ccc54a-6dbd-4cff-8429-7a4b0ec9efc2</t>
  </si>
  <si>
    <t>IotaOrigin provides a DLT-based platform for traceability and digital trade in conflict-free commodities and the mining sector.</t>
  </si>
  <si>
    <t>IotaOrigin provides a digital platform for international trade in conflict-free commodities and goods. The system enables traceability and due diligence across supply chains using distributed ledger technology, creating records of origin and custody. It standardizes and digitizes workflows for trade, financing, insurance, and cross-border contracts in the mining sector. Tools support provenance verification, document exchange, and audit trails to help meet regulatory and responsible-sourcing requirements. Stakeholders such as producers, traders, lenders, and insurers use the platform to coordinate transactions, monitor risk, and verify compliance.</t>
  </si>
  <si>
    <t>http://www.linkedin.com/company/iotaorigin</t>
  </si>
  <si>
    <t>https://iotaorigin.de</t>
  </si>
  <si>
    <t>network@iotaorigin.de</t>
  </si>
  <si>
    <t>Blockchain; Compliance; Digital Marketing; Financial Services; Insurance; Mining Technology; Software; Supply Chain Management</t>
  </si>
  <si>
    <t>Incospro</t>
  </si>
  <si>
    <t>incospro</t>
  </si>
  <si>
    <t>1e841afb-84cc-4dbf-99d0-2d30841d131a</t>
  </si>
  <si>
    <t>Incospro offers transportation, logistics, supply chain and storage services.</t>
  </si>
  <si>
    <t>https://www.linkedin.com/company/incospro</t>
  </si>
  <si>
    <t>https://www.incospro.com</t>
  </si>
  <si>
    <t>hallo@incospro.com</t>
  </si>
  <si>
    <t>Agheera</t>
  </si>
  <si>
    <t>agheera</t>
  </si>
  <si>
    <t>7463d72e-f135-4ab6-9a99-72fbc8a429fc</t>
  </si>
  <si>
    <t>Agheera is an independent Telematics Solution Provider providing real-time visibility services to industry customers &amp; logistics companies.</t>
  </si>
  <si>
    <t>https://www.linkedin.com/company/agheera/</t>
  </si>
  <si>
    <t>https://agheera.com</t>
  </si>
  <si>
    <t>info@agheera.com</t>
  </si>
  <si>
    <t>+49 2203 29757-0</t>
  </si>
  <si>
    <t>The Kreartists</t>
  </si>
  <si>
    <t>the-kreartists</t>
  </si>
  <si>
    <t>a3903bf3-f12b-484f-8fe7-8d71b1a2a22f</t>
  </si>
  <si>
    <t>The Kreartists provides consumer research, product design, and supply chain management services.</t>
  </si>
  <si>
    <t>https://www.linkedin.com/company/die-kreartisten-gmbh-&amp;-co-kg/</t>
  </si>
  <si>
    <t>https://www.diekreartisten.com</t>
  </si>
  <si>
    <t>info@diekreartisten.com</t>
  </si>
  <si>
    <t>+49 221 56260 870</t>
  </si>
  <si>
    <t>Consumer Research; Product Design; Supply Chain Management</t>
  </si>
  <si>
    <t>HIMA</t>
  </si>
  <si>
    <t>hima-4570</t>
  </si>
  <si>
    <t>e87833a9-47f8-49b4-b163-9ca4ab4f4570</t>
  </si>
  <si>
    <t>HIMA is a non-profit network of suppliers and manufacturers of home improvement, building materials, gardening, and furniture industries.</t>
  </si>
  <si>
    <t>https://www.linkedin.com/company/himanetwork/</t>
  </si>
  <si>
    <t>https://www.fediyma.com</t>
  </si>
  <si>
    <t>Association; Non Profit; Supply Chain Management</t>
  </si>
  <si>
    <t>Crumpler</t>
  </si>
  <si>
    <t>crumpler-253c</t>
  </si>
  <si>
    <t>efdbe1be-ba88-41c9-b7be-6c4f62c3253c</t>
  </si>
  <si>
    <t>Crumpler is an e-commerce company that offers a range of messenger bags, backpacks, luggage, laptop, tablets, and cameras.</t>
  </si>
  <si>
    <t>https://www.linkedin.com/company/crumpler</t>
  </si>
  <si>
    <t>https://www.crumpler.eu/</t>
  </si>
  <si>
    <t>info@crumpler.eu</t>
  </si>
  <si>
    <t>Consumer Goods; E-Commerce; Supply Chain Management</t>
  </si>
  <si>
    <t>Stevia Group</t>
  </si>
  <si>
    <t>stevia-group</t>
  </si>
  <si>
    <t>71b6908c-74e6-4be6-9d1d-146caad59426</t>
  </si>
  <si>
    <t>Stevia Group is a product development company that supplies herbal and non-vegetable stevia raw materials and natural sweeteners.</t>
  </si>
  <si>
    <t>https://www.linkedin.com/company/stevia-group/</t>
  </si>
  <si>
    <t>https://www.stevia-group.com</t>
  </si>
  <si>
    <t>info@stevia-group.com</t>
  </si>
  <si>
    <t>+49 0  221 39780 292</t>
  </si>
  <si>
    <t>Food and Beverage; Product Management; Supply Chain Management</t>
  </si>
  <si>
    <t>Recycling Office Transport Packaging</t>
  </si>
  <si>
    <t>recycling-office-transport-packaging</t>
  </si>
  <si>
    <t>bcb88d10-fdc1-467f-8544-f622c4d5e2cf</t>
  </si>
  <si>
    <t>RKT is a waste management company that collects and recycles transport packaging materials.</t>
  </si>
  <si>
    <t>RKT is a distributor of transport packaging. They provide disposal management, collection, and recycling services for transport packaging. They specialise in working with manufacturers and distributors in the supply chain to recycle the transport packaging they have put on the market.</t>
  </si>
  <si>
    <t>https://www.linkedin.com/company/rkd-recycling-kontor-dual-gmbh-&amp;-co-kg</t>
  </si>
  <si>
    <t>https://www.recycling-kontor.koeln</t>
  </si>
  <si>
    <t>tvp-kontakt@recycling-kontor.koeln</t>
  </si>
  <si>
    <t>+49 221 47 44 65  0</t>
  </si>
  <si>
    <t>Packaging Services; Recycling; Transportation; Waste Management</t>
  </si>
  <si>
    <t>TALENT-net</t>
  </si>
  <si>
    <t>talent-net-6a76</t>
  </si>
  <si>
    <t>c3e3d34c-a551-4cac-ab73-e02944f96a76</t>
  </si>
  <si>
    <t>TALENT-net GmbH specializes in Executive Search, Interim Management, and Consulting in Purchasing.</t>
  </si>
  <si>
    <t>https://www.linkedin.com/company/talent-net-gmbh</t>
  </si>
  <si>
    <t>https://www.talent-net.org</t>
  </si>
  <si>
    <t>info@talent-net.org</t>
  </si>
  <si>
    <t>+49 221 9626 5111</t>
  </si>
  <si>
    <t>Consulting; IT Management; Professional Services; Supply Chain Management</t>
  </si>
  <si>
    <t>finance; marketing</t>
  </si>
  <si>
    <t>Intelligent Corporate Solutions</t>
  </si>
  <si>
    <t>intelligent-corporate-solutions</t>
  </si>
  <si>
    <t>e005b3b6-0bff-408f-8bab-a1f6789ca197</t>
  </si>
  <si>
    <t>Intelligent Corporate Solutions is an IT and software company that develops intelligent solutions for companies.</t>
  </si>
  <si>
    <t>Intelligent Corporate Solutions provides reporting and accounting, intelligent solutions, billing, accounting, taxes, supply chain management and logistics, system development, software development, and geographic information systems.</t>
  </si>
  <si>
    <t>https://www.linkedin.com/company/incs-intelligent-corporate-solutions-gmbh</t>
  </si>
  <si>
    <t>https://www.incs.org</t>
  </si>
  <si>
    <t>info@incs.org</t>
  </si>
  <si>
    <t>+49 0 2203 20216 11</t>
  </si>
  <si>
    <t>PK Fashion</t>
  </si>
  <si>
    <t>pk-fashion</t>
  </si>
  <si>
    <t>a94d6ec3-968c-4aef-97f2-e9d4bdb91621</t>
  </si>
  <si>
    <t>PK Fashion is a distribution company that specializes in supplying fashion clothing products along with an offline service.</t>
  </si>
  <si>
    <t>http://www.pkfashion.eu.com</t>
  </si>
  <si>
    <t>info@pkfashion.eu.com</t>
  </si>
  <si>
    <t>Fashion; Retail; Supply Chain Management</t>
  </si>
  <si>
    <t>Neptune Freight Services</t>
  </si>
  <si>
    <t>neptune-freight-services</t>
  </si>
  <si>
    <t>2fef6130-9776-43dd-84ea-187b856455c2</t>
  </si>
  <si>
    <t>Neptune Freight Services is a wine logistics company that offers customs clearance, storage, and packaging services.</t>
  </si>
  <si>
    <t>https://www.linkedin.com/company/neptun-freight-services-gmbh</t>
  </si>
  <si>
    <t>https://www.neptun-services.de</t>
  </si>
  <si>
    <t>info@neptun-services.de</t>
  </si>
  <si>
    <t>+49 521 546 7930</t>
  </si>
  <si>
    <t>Freight Service; Logistics; Packaging Services; Supply Chain Management</t>
  </si>
  <si>
    <t>3MCS</t>
  </si>
  <si>
    <t>3mcs</t>
  </si>
  <si>
    <t>9b119e64-f79a-4a73-8137-3eddab1bd237</t>
  </si>
  <si>
    <t>3MCS GmbH provides strategy, investment, supply chain, lean management, and trading services for medical technology companies.</t>
  </si>
  <si>
    <t>3MCS GmbH provides consulting and implementation services across strategy and investment, operational excellence, and trading and distribution. The company supports M&amp;A processes, corporate analysis, investor matching, succession, and turnaround situations through its Strategy &amp; Investment offerings and the Strategie-Pilot.de platform. In Operational Excellence, 3MCS focuses on supply chain transformation, procurement management, lean production, process optimization, and digital shopfloor management supported by proprietary analysis tools. Its Trading &amp; Distribution activities cover market and product development, international sales, and the supply of industrial and medical components. 3MCS works with a global alliance of independent entrepreneurs and industry experts in regions such as India, the Emirates, Africa, Turkey, and Europe.</t>
  </si>
  <si>
    <t>https://www.linkedin.com/company/3mcs-de</t>
  </si>
  <si>
    <t>https://www.3mcs.de</t>
  </si>
  <si>
    <t>info@3mcs.de</t>
  </si>
  <si>
    <t>+49 0 221 273 218 02</t>
  </si>
  <si>
    <t>Business Intelligence; Enterprise Software; Management Consulting; Procurement; Software; Supply Chain Management</t>
  </si>
  <si>
    <t>Qinum</t>
  </si>
  <si>
    <t>qinum</t>
  </si>
  <si>
    <t>4892cdd5-3d62-4416-84a6-b65fb134e716</t>
  </si>
  <si>
    <t>Qinum GmbH develops digitalization and cognitive computing solutions for logistics, health, HR, and service applications.</t>
  </si>
  <si>
    <t>Qinum GmbH develops digitalization and cognitive computing solutions for process automation in administrative and technical environments. The company designs intelligent assistance systems that use perception and inference to monitor process states and trigger actions. It offers digital health applications such as online appointment services, anamnesis, scoring, therapy control and mobile patient records with HL7/IHE integration. Qinum provides digital logistics platforms for supply chain visibility, asset tracking and event-based monitoring using sensor data. It delivers digital HR applications for job boards, applicant and qualification management, e-learning and transfer management. The company also implements digital services for sales, customer service, after-sales and technical documentation, often as cloud-based and mobile solutions integrated into customer and service portals.</t>
  </si>
  <si>
    <t>https://www.linkedin.com/company/qinum-gmbh</t>
  </si>
  <si>
    <t>https://www.qinum.com</t>
  </si>
  <si>
    <t>info@qinum.com</t>
  </si>
  <si>
    <t>+49 221 93 38 22 0</t>
  </si>
  <si>
    <t>Artificial Intelligence (AI); Cloud Computing; Enterprise Software; Software</t>
  </si>
  <si>
    <t>SPARETECH</t>
  </si>
  <si>
    <t>sparetech</t>
  </si>
  <si>
    <t>eb8739ce-20fe-42f2-9811-106969d75010</t>
  </si>
  <si>
    <t>Transforming industrial spare parts management into an efficient, reliable, &amp; collaborative experience.</t>
  </si>
  <si>
    <t>SPARETECH creates a collaboration platform for manufacturing companies to digitize their spare part inventories, calculate their true demand, compare parts from various suppliers, and source the appropriate part outside or within their production network. The software compares spare part lists from clients to the product database and generates standardized data sets for ERP systems. They allow the customer to leverage sourcing and usage within the production network.</t>
  </si>
  <si>
    <t>https://www.linkedin.com/company/sparetech-io/about/</t>
  </si>
  <si>
    <t>https://www.sparetech.io/</t>
  </si>
  <si>
    <t>info@sparetech.io</t>
  </si>
  <si>
    <t>Dr. Lukas Biedermann; Martin Weber</t>
  </si>
  <si>
    <t>Industrial Manufacturing; Machinery Manufacturing; Manufacturing; Procurement; Software; Supply Chain Management</t>
  </si>
  <si>
    <t>Stuttgart</t>
  </si>
  <si>
    <t>engineering; finance; information_technology; management; marketing; operations; pro_services; product; sales; support</t>
  </si>
  <si>
    <t>bex technologies</t>
  </si>
  <si>
    <t>bex-technologies-gmbh</t>
  </si>
  <si>
    <t>5cbe52ed-322a-4cd0-85b0-3d37db080d58</t>
  </si>
  <si>
    <t>bex technologies is the leading construction logistics platform in Europe with &gt; 150,000 deliveries per year</t>
  </si>
  <si>
    <t>bex is the leading construction logistics platform with over 1,000 active customers and more than 3,000 vehicles from over 600 SME delivery partners on their platform. bex redefines the way, construction suppliers move materials and machinery to and from construction sites. More than 150,000 deliveries per year, ranging from a few boxes of screws to 40t excavators. Core value creation of bex is the digitization and automation of the transportation workflows in the construction supply chain, in a market exceeding ‚Ç¨ 100 bn globally.</t>
  </si>
  <si>
    <t>https://www.linkedin.com/company/bextechnologies/</t>
  </si>
  <si>
    <t>https://bexapp.de/</t>
  </si>
  <si>
    <t>support@bexapp.de</t>
  </si>
  <si>
    <t>+49 711 98809967</t>
  </si>
  <si>
    <t>Johannes Keller; Lennart Paul</t>
  </si>
  <si>
    <t>Building Material; Construction; Last Mile Transportation; Logistics; Transportation</t>
  </si>
  <si>
    <t>engineering; management; marketing; sales</t>
  </si>
  <si>
    <t>asvin.io</t>
  </si>
  <si>
    <t>asvin-io</t>
  </si>
  <si>
    <t>f00ea5c7-3d30-4226-9a2b-e98dd123be25</t>
  </si>
  <si>
    <t>asvin.io provides a blockchain-based data infrastructure that enables trusted data sharing, traceability, and verification for enterprises.</t>
  </si>
  <si>
    <t>Since 2018, asvin‚Äôs cybersecurity company's mission has been safeguarding organizations and their valuable data, inspired by the healing Asvin twins from Hindu mythology. With a proactive approach, we provide predictive solutions to ensure our clients' systems and devices' health and resilience, establishing trust, security, and resilience throughout the software lifecycle. We provide predictive cybersecurity with unique mesh architectures, knowledge-graph, and risk-by-context methodologies. Our state-of-the-art Risk-By-Context index enables informed decision-making by identifying complex threat patterns for advanced risk analysis. You get improved prioritization, stay ahead of threats, allocate resources efficiently, respond timely, and maximize your security investments. Our research is leveraging AI for enhanced threat intelligence and risk analytics, investigating vulnerabilities related to AI training data manipulation and emerging cyber risks. Collaborating with esteemed partners like MIT, Fraunhofer, and KIT, we contribute to national and international projects. asvin BeeHive, our Cybersecurity Management System (CSMS), ensures regulatory compliance and resilience in software ecosystems. With APIs for Software Update Management (SUMS), comprehensive threat intelligence, and risk analysis (SBoM analytics), BeeHive gives you a robust security framework. Our predictive cybersecurity solutions cater to critical sectors in industrial and public domains. Our Risk-By-Context solution excels at identifying, assessing, and mitigating risks, customizable to each customer's specific requirements. With an end-to-end trust layer along data supply chains, BeeHive boosts resilience against cyber-attacks, ensuring compliance with legal and regulatory obligations. Our approved technologies benefit diverse industries, such as automotive, engineering, energy, telecommunications, and public infrastructures. Our comprehensive cybersecurity protection is reliable across all sectors, from connected devices to OT environments and cyber-regulatory needs. Choose asvin to empower your cyber resilience and safeguard your assets throughout the lifecycle like never before.</t>
  </si>
  <si>
    <t>https://www.linkedin.com/company/asvin-gmbh/</t>
  </si>
  <si>
    <t>https://www.asvin.io</t>
  </si>
  <si>
    <t>contact@asvin.io</t>
  </si>
  <si>
    <t>0049 711 220 40 93 0</t>
  </si>
  <si>
    <t>Mirko Ross; Sven Rahlfs</t>
  </si>
  <si>
    <t>Asset Management; Cyber Security; Risk Management; Supply Chain Management</t>
  </si>
  <si>
    <t>tsenso</t>
  </si>
  <si>
    <t>ec6aa90a-2bb9-0c92-059b-27302f6295f6</t>
  </si>
  <si>
    <t>tsenso is an automated, cloud-based solution to track and gather information on product storage conditions from farm to fork.</t>
  </si>
  <si>
    <t>tsenso is an automated, cloud-based solution to track and gather information on product storage conditions from farm to fork. It collects complex logistical and monitoring data and aggregates it into a ‚ÄúFresh Index‚Äù, a real-time shelf life indicator. This enables wholesalers and retailers to make decisions on quality assurance and determine weak spots within the supply chain. Suppliers, distributors and consumers benefit from a higher level of food transparency which reduces costs, leads to increased trust and less food wastage at all stages of the supply chain.</t>
  </si>
  <si>
    <t>https://www.linkedin.com/company/tsenso</t>
  </si>
  <si>
    <t>https://freshindex.eu/</t>
  </si>
  <si>
    <t>info@tsenso.com</t>
  </si>
  <si>
    <t>49 175 5234632</t>
  </si>
  <si>
    <t>Christian Fleck; Christian Fleck; Matthias Brunner; Rahul Tomar</t>
  </si>
  <si>
    <t>Agriculture; Cloud Computing; Computer Vision; Food and Beverage; Information Technology; Logistics</t>
  </si>
  <si>
    <t>flexis AG</t>
  </si>
  <si>
    <t>flexis-ag</t>
  </si>
  <si>
    <t>86c380de-4a9f-3ec8-362d-af47755b18cf</t>
  </si>
  <si>
    <t>flexis is a software supplier and consulting firm providing cutting edge solutions for a multitude of production markets.</t>
  </si>
  <si>
    <t>For more than 20 years, flexis has been recognized as an industry leader in developing and implementing supply chain software solutions in automotive, manufacturing, and logistics industries.  Our goal is to provide companies with end-to-end visibility of planning, scheduling, and execution systems and to empower our customers with the knowledge and tools to optimize the flow of their products from suppliers to end customers and all points in between.  flexis operates offices in Europe, North America, and Asia.</t>
  </si>
  <si>
    <t>https://www.linkedin.com/company/flexis-ag</t>
  </si>
  <si>
    <t>https://www.flexis.com/</t>
  </si>
  <si>
    <t>info@flexis.com</t>
  </si>
  <si>
    <t>+49 711 7823800</t>
  </si>
  <si>
    <t>Philipp Beisswenger</t>
  </si>
  <si>
    <t>engineering; human_resources; operations</t>
  </si>
  <si>
    <t>SPACEGOATS</t>
  </si>
  <si>
    <t>spacegoats</t>
  </si>
  <si>
    <t>8d970ace-6f58-4990-bb73-6f8e35b46dc6</t>
  </si>
  <si>
    <t>Your AI-Powered E-Commerce Solution for International Growth</t>
  </si>
  <si>
    <t>SPACEGOATS has the mission to simplify e-commerce and global expansion for online sellers and brands. With the latest product GalaxyAI, an AI-based co-pilot designed to streamline business processes, optimize content and product portfolios, and simplify international expansion, we redefine the future of e-commerce forever. Founded in 2019, SPACEGOATS has already made significant strides in the e-commerce space with a powerful software named Galaxy and supply chain infrastructure, simplifying international e-commerce and enabling seamless expansion. We've successfully eliminated the complexities of international trade, helping businesses grow effortlessly. Now, with GalaxyAI, we aim to take this mission even further. GalaxyAI is designed to evolve from leveraging public language model APIs to a fully autonomous business agent, assisting in decision-making, market research, compliance requirements, and more. We have a working MVP integrated within our existing Galaxy software and a clear development roadmap. In addition, we have built a strong customer base over the past few years, generating an ARR of almost $1M. The Galaxy software helps us handle this revenue by providing deep-dive reporting and remote control to our customers. Now we are seeking an investment of $0.75M to accelerate the software development, amplify our marketing and sales efforts, and bolster our operational strength. The investment opportunity is open for angels and VC firms with a strong belief in the potential of AI and e-commerce. We are especially interested in partners with experience in AI, E-Commerce, or preferably, both. Partnerships with potential clients, connections, and support for a U.S. market entry would be highly valued. Join us in our mission to revolutionize e-commerce and shape the future of business with GalaxyAI.</t>
  </si>
  <si>
    <t>https://www.linkedin.com/company/spacegoats/</t>
  </si>
  <si>
    <t>https://spacegoats.io/</t>
  </si>
  <si>
    <t>manuel@spacegoats.io</t>
  </si>
  <si>
    <t>Anton Hermann; Manuel Eynollahiargaghy</t>
  </si>
  <si>
    <t>Artificial Intelligence (AI); E-Commerce; Retail; Software</t>
  </si>
  <si>
    <t>BOSETEIN</t>
  </si>
  <si>
    <t>bosetein</t>
  </si>
  <si>
    <t>d1a91ec1-5f2b-4365-a09d-4cb17856464f</t>
  </si>
  <si>
    <t>Bosetein is an emerging startup from Stuttgart. The company develops real-time hygiene inspection sensor and data platform for food industry</t>
  </si>
  <si>
    <t>BOSETEIN develops, AI powered IoT platform through which the food producers, processing companies, retailers and auditing companies can estimate and keep track of the hygienic conditions of food products and the food supply chain in real-time. The platform is enabled by our real-time bacterial inspection sensor, ReBIS, which estimates the hygienic quality of the produce on the production lines. It allows the food producers and processing companies to have a better control over the use-by-date as well. We are helping companies to produce safe and hygienic food to gain consumer confidence and avoid food recalls and food waste. Our data platform is a one-stop-shop for food safety issues.</t>
  </si>
  <si>
    <t>https://www.linkedin.com/company/bosetein/</t>
  </si>
  <si>
    <t>https://www.bosetein.com</t>
  </si>
  <si>
    <t>info@bosetein.com</t>
  </si>
  <si>
    <t>+49 15753991486</t>
  </si>
  <si>
    <t>Alok Singh</t>
  </si>
  <si>
    <t>Big Data; Food Processing; Internet of Things; Sensor</t>
  </si>
  <si>
    <t>Swarm Logistics</t>
  </si>
  <si>
    <t>swarm-logistics</t>
  </si>
  <si>
    <t>1960c423-6fb0-4903-b601-d97d99887818</t>
  </si>
  <si>
    <t>Fleet-orchestration &amp; optimization as middleware cloud solution to operate heterogeneous, commercial vehicles cars, vans &amp; trucks over API</t>
  </si>
  <si>
    <t>Swarm Logistics is a Deep-Tech software technology company specializing in the development of Fleet Control systems. We provide systems to fully automate the coordination &amp; orchestration of heterogeneous fleets with trucks, cars, buses &amp;autonomous vehicles in open environments. Provide Fleet-Orchestration solutions with AI derived travel time predictions   &amp; ETA with capacitated and weight dependent planning. Our vision is to enable the Machine Economy in transportation, where vehicles of competing companies orchestrate themselves fully autonomously with flexible time and location for trans-shipments. Vehicles are coordinating themselves like swarms with edge computing and a server-less infrastructure. We are located in the city center of one of the world‚Äôs hubs for mobility in Stuttgart, Germany. We are a small but determined team of specialists with a clear vision and roadmap to achieve the Machine Economy in the mobility space with shippable intermediaries.</t>
  </si>
  <si>
    <t>https://www.linkedin.com/company/swarm-logistics/</t>
  </si>
  <si>
    <t>https://www.swarmlogistics.de</t>
  </si>
  <si>
    <t>info@swarmlogistics.net</t>
  </si>
  <si>
    <t>Damir Dulovic</t>
  </si>
  <si>
    <t>Artificial Intelligence (AI); Autonomous Vehicles; Fleet Management; Industrial Automation; Internet of Things; Logistics; Machine Learning; Robotics; Software; Supply Chain Management</t>
  </si>
  <si>
    <t>TMG Consultants</t>
  </si>
  <si>
    <t>tmg-consultants</t>
  </si>
  <si>
    <t>35fe7ac5-8e0e-483e-91bf-df04a89906ee</t>
  </si>
  <si>
    <t>TMG Consultants is a consulting company that offers value analysis and project management services for the manufacturing industry.</t>
  </si>
  <si>
    <t>https://www.linkedin.com/company/tmg-consultants-gmbh</t>
  </si>
  <si>
    <t>https://www.tmg.com/unternehmen/</t>
  </si>
  <si>
    <t>info@tmg.com</t>
  </si>
  <si>
    <t>Consulting; Project Management; Supply Chain Management</t>
  </si>
  <si>
    <t>information_technology; management; sales</t>
  </si>
  <si>
    <t>Concept AG</t>
  </si>
  <si>
    <t>concept-ag</t>
  </si>
  <si>
    <t>28caa3dd-7616-4be1-bccc-19478086e557</t>
  </si>
  <si>
    <t>Concept AG specializes in supply chain management, business development, capital optimization, networking, and digital analytics services.</t>
  </si>
  <si>
    <t>https://www.linkedin.com/company/concept-ag-the-productivity-people/</t>
  </si>
  <si>
    <t>https://concept.ag/</t>
  </si>
  <si>
    <t>hello@concept.ag</t>
  </si>
  <si>
    <t>+49 71-113-2740</t>
  </si>
  <si>
    <t>Harald Balzer</t>
  </si>
  <si>
    <t>Analytics; Business Development; Supply Chain Management</t>
  </si>
  <si>
    <t>ONEflow Logistics Group</t>
  </si>
  <si>
    <t>oneflow-logistics-group</t>
  </si>
  <si>
    <t>11339231-3c59-42f9-9c2d-83e519730204</t>
  </si>
  <si>
    <t>ONEflow Logistics Group is a logistics company that provides logistics services, warehousing, transportation, and courier parcel delivery.</t>
  </si>
  <si>
    <t>https://www.linkedin.com/company/oneflow-gmbh</t>
  </si>
  <si>
    <t>https://www.one-flow.de</t>
  </si>
  <si>
    <t>info@one-flow.de</t>
  </si>
  <si>
    <t>49 711 18426110</t>
  </si>
  <si>
    <t>Delivery Service; Fleet Management; Freight Service; Logistics; Supply Chain Management; Transportation; Warehousing</t>
  </si>
  <si>
    <t>Berners Consulting</t>
  </si>
  <si>
    <t>berners-consulting</t>
  </si>
  <si>
    <t>056880ef-4e27-4458-9209-89797aff8222</t>
  </si>
  <si>
    <t>Berners Consulting provides international bridging, partnerships, M&amp;A, sustainable, and resilient supply chain services.</t>
  </si>
  <si>
    <t>https://www.linkedin.com/company/berners-consulting</t>
  </si>
  <si>
    <t>https://bernersconsulting.com</t>
  </si>
  <si>
    <t>info@bernersconsulting.com</t>
  </si>
  <si>
    <t>+49 176 6218 9687</t>
  </si>
  <si>
    <t>Consulting; Management Consulting; Supply Chain Management; Sustainability</t>
  </si>
  <si>
    <t>Drescher Consulting</t>
  </si>
  <si>
    <t>drescher-consulting</t>
  </si>
  <si>
    <t>07f8cf48-1132-49f2-8b2b-f0a45773ace6</t>
  </si>
  <si>
    <t>Drescher Consulting provides training, strategy, and project management services for the automotive and construction industries.</t>
  </si>
  <si>
    <t>https://www.linkedin.com/company/drescher-consulting-gmbh</t>
  </si>
  <si>
    <t>https://www.drescher-consulting.de</t>
  </si>
  <si>
    <t>info@drescher-consulting.de</t>
  </si>
  <si>
    <t>+49 0 711 7586590</t>
  </si>
  <si>
    <t>information_technology; management; pro_services</t>
  </si>
  <si>
    <t>GTC Hightech</t>
  </si>
  <si>
    <t>gtc-hightech</t>
  </si>
  <si>
    <t>8560ef2a-266c-4885-8eea-5e90db74a69c</t>
  </si>
  <si>
    <t>GTC Hightech is an intelligent manufacturing technology company.</t>
  </si>
  <si>
    <t>GTC Hightech is a company from stuttgart that offers project-based holistic technical concept solutions. The company's focus is on the german and chinese markets. In this context, GTC Hightech also helps its customers to develop chinese markets and also wants to promote cooperation between german and Chinese start-up centers. The disciplines within the international team cover smart production, simulation technology, supply chain management, renewable energies, and other related subject areas.</t>
  </si>
  <si>
    <t>https://www.linkedin.com/company/gtc-hightech</t>
  </si>
  <si>
    <t>http://de.gtc-hightech.com</t>
  </si>
  <si>
    <t>info@gtc-hightech.com</t>
  </si>
  <si>
    <t>+49 071139083823</t>
  </si>
  <si>
    <t>Hardware; Simulation; Software; Supply Chain Management</t>
  </si>
  <si>
    <t>Factory Evolution</t>
  </si>
  <si>
    <t>factory-evolution</t>
  </si>
  <si>
    <t>46ffc208-e673-4a8d-bdf7-f90be84197d2</t>
  </si>
  <si>
    <t>Factory Evolution's focus is on customer satisfaction in the triangle of delivery performance.</t>
  </si>
  <si>
    <t>https://www.linkedin.com/company/factory-evolution-gmbh/</t>
  </si>
  <si>
    <t>https://www.factory-evolution.com/</t>
  </si>
  <si>
    <t>info@factory-evolution.com</t>
  </si>
  <si>
    <t>+49 (0) 171 9004322</t>
  </si>
  <si>
    <t>Consulting; Supply Chain Management</t>
  </si>
  <si>
    <t>Andretta Stuttgart</t>
  </si>
  <si>
    <t>andretta-stuttgart</t>
  </si>
  <si>
    <t>5acfaf67-fb6b-4a5c-a31f-feb717a98cab</t>
  </si>
  <si>
    <t>Andretta Stuttgart is a wholesale company that specializes in supply chain and goods management of fruits and vegetables.</t>
  </si>
  <si>
    <t>https://www.linkedin.com/company/andretta-fruchtimport-gmbh</t>
  </si>
  <si>
    <t>https://andretta-stuttgart.de/andretta-willkommen.html</t>
  </si>
  <si>
    <t>info@andretta-stuttgart.de</t>
  </si>
  <si>
    <t>+49 711 1681 0</t>
  </si>
  <si>
    <t>Fruit; Supply Chain Management; Wholesale</t>
  </si>
  <si>
    <t>Craft International Baden-Wuerttemberg</t>
  </si>
  <si>
    <t>craft-international-baden-wuerttemberg</t>
  </si>
  <si>
    <t>af57ceee-353e-43a2-b18a-2cab4358351b</t>
  </si>
  <si>
    <t>Handwerk International Baden-W√ºrttemberg is a handicraft chamber supporting craft businesses.</t>
  </si>
  <si>
    <t>https://www.linkedin.com/company/hwibw/</t>
  </si>
  <si>
    <t>https://www.handwerk-international.de</t>
  </si>
  <si>
    <t>info@handwerk-international.de</t>
  </si>
  <si>
    <t>+ 49 711 1657-444</t>
  </si>
  <si>
    <t>Consulting; Events; Supply Chain Management</t>
  </si>
  <si>
    <t>Deutsche Apotheker Zeitung</t>
  </si>
  <si>
    <t>deutsche-apotheker-zeitung</t>
  </si>
  <si>
    <t>ee7285cc-617b-455b-b04a-f6231029e927</t>
  </si>
  <si>
    <t>Deutsche Apotheker Zeitung publishes pharmaceutical news and analysis with e-paper archives for pharmacists and healthcare stakeholders.</t>
  </si>
  <si>
    <t>Deutsche Apotheker Zeitung publishes a professional journal and online portal for pharmacists and the wider pharmaceutical sector. Coverage spans drug policy, pharmaceutical science, compounding practice, and pharmacy business operations. The publication delivers daily news, in-depth features, interviews, and legal and reimbursement updates relevant to community and hospital pharmacy. Digital access includes an e-paper and PDF archive spanning the last two decades. Articles explain scientific methods and therapies, such as lyophilisation and CAR-T, and track court and regulatory decisions that shape medicine pricing and dispensing. Content supports evidence-based practice, safe medication use, and informed discussions across the supply chain.</t>
  </si>
  <si>
    <t>https://www.linkedin.com/showcase/deutsche-apotheker-zeitung</t>
  </si>
  <si>
    <t>https://www.deutsche-apotheker-zeitung.de</t>
  </si>
  <si>
    <t>Content; Health Care; Legal; Medical; Pharmaceutical; Publishing</t>
  </si>
  <si>
    <t>Aug. Hedinger</t>
  </si>
  <si>
    <t>aug-hedinger</t>
  </si>
  <si>
    <t>43f3df26-3ae4-4a32-b372-88a811591f0b</t>
  </si>
  <si>
    <t>1843-01-01</t>
  </si>
  <si>
    <t>Aug. Hedinger GmbH &amp; Co. KG supplies pharmaceutical chemicals and excipients, with repacking, testing, and documentation services.</t>
  </si>
  <si>
    <t>Aug. Hedinger GmbH &amp; Co. KG supplies pharmaceutical-grade chemicals, excipients, and laboratory reagents for pharma, food, cosmetics, and industrial uses. The portfolio includes solvents, alcohols, acids, bases, and salts, provided in various container sizes and concentrations. Services include repacking and filling of liquids and solids, custom labeling, and provision of batch-related documentation and safety data sheets. Quality processes include incoming goods checks, identity and purity testing, and certificates aligned to relevant pharmacopoeial requirements such as Ph. Eur. or USP. Technical support addresses specifications, substitution options, and handling questions. Online resources offer product information and documentation to streamline sourcing and audits.</t>
  </si>
  <si>
    <t>https://www.linkedin.com/company/aug-hedinger-gmbh-co-kg</t>
  </si>
  <si>
    <t>https://hedinger.de</t>
  </si>
  <si>
    <t>info@hedinger.de</t>
  </si>
  <si>
    <t>+49 0 711 40 20 50</t>
  </si>
  <si>
    <t>Biotechnology; Chemical; Industrial; Packaging Services; Pharmaceutical; Quality Assurance; Supply Chain Management</t>
  </si>
  <si>
    <t>marketing; operations; sales</t>
  </si>
  <si>
    <t>SOMERSET RECYCLING SERVICES INC</t>
  </si>
  <si>
    <t>somerset-recycling-services-inc</t>
  </si>
  <si>
    <t>f7142623-42a2-465c-b543-0a714d7a4655</t>
  </si>
  <si>
    <t>Somerset Recycling Services purchases and processes paper and plastic materials for commercial and industrial clients.</t>
  </si>
  <si>
    <t>Somerset Recycling Services purchases and processes paper and plastic materials for commercial and industrial clients. The company operates recycling facilities that receive sorted material from businesses rather than from the public. It focuses on handling bulk quantities of recyclables, preparing them for downstream reuse in manufacturing and other applications. Somerset Recycling Services manages relationships with vendors, suppliers, and customers to support ongoing material flows. Its services are intended for organizations that generate consistent volumes of recyclable paper and plastics and need a dedicated processor.</t>
  </si>
  <si>
    <t>https://somerset-recycling.com</t>
  </si>
  <si>
    <t>Industrial; Packaging Services; Paper Manufacturing; Plastics and Rubber Manufacturing; Recycling; Supply Chain Management; Waste Management</t>
  </si>
  <si>
    <t>Somerset</t>
  </si>
  <si>
    <t>Activate Freight</t>
  </si>
  <si>
    <t>activate-freight</t>
  </si>
  <si>
    <t>e6f221b6-d535-422a-b806-7b39accd76a5</t>
  </si>
  <si>
    <t>Activate Freight provides US customs brokerage, international freight forwarding, and domestic truck freight services.</t>
  </si>
  <si>
    <t>Activate Freight provides freight transportation services and US customs brokerage for importers moving cargo into the United States. The company arranges international freight by air and ocean, including quotes that cover shipment costs from origin to final destination. It also manages domestic freight within the United States for door-to-door transport. As a licensed US customs broker, Activate Freight handles import formalities and customs clearance, and supports clients with documentation and regulatory requirements. Services target businesses that ship products internationally and domestically.</t>
  </si>
  <si>
    <t>https://www.linkedin.com/company/activate-freight-llc</t>
  </si>
  <si>
    <t>https://activatefreight.com</t>
  </si>
  <si>
    <t>Business Development; Business Process Automation (BPA); Commercial; Customer Service; Freight Service; Logistics; Shipping; Supply Chain Management; Transportation</t>
  </si>
  <si>
    <t>Boise</t>
  </si>
  <si>
    <t>Shenandoah Framing Inc</t>
  </si>
  <si>
    <t>shenandoah-framing-inc</t>
  </si>
  <si>
    <t>6ec08c8d-e2c2-4b8b-b0e4-1a42ee7316a8</t>
  </si>
  <si>
    <t>Shenandoah Framing, Inc. supplies wholesale picture frame moulding and framing materials to the art and framing industry.</t>
  </si>
  <si>
    <t>Shenandoah Framing, Inc. distributes and imports picture frame moulding and related framing materials for wholesale customers in the art and framing industry. The company offers a searchable inventory of mouldings, including its Shenandoah Line and lines from brands such as Presto, Universal/Arquati, Michelangelo, Fotiou, Markestil, Framerica, International Moulding, and Nielsen Metals. It provides clearance and discontinued moulding options, as well as dry mount and release paper sold by the box. Orders can draw from in‚Äëstock moulding or be drop‚Äëshipped from suppliers when an item is not carried in inventory.</t>
  </si>
  <si>
    <t>https://shenandoahframing.com</t>
  </si>
  <si>
    <t>Art; Home and Garden; Manufacturing; Packaging Services; Retail; Supply Chain Management; Wholesale</t>
  </si>
  <si>
    <t>Lexington</t>
  </si>
  <si>
    <t>RoomMatch</t>
  </si>
  <si>
    <t>roommatch</t>
  </si>
  <si>
    <t>5716ceaa-515a-9e16-7999-4fc811f329d6</t>
  </si>
  <si>
    <t>Social market for rentals and roommates.</t>
  </si>
  <si>
    <t>RoomMatch is the online marketplace for apartments + roommates. They provide an alternative solution for renters that have difficulty finding housing by connecting them other compatible renters with similar budgets, locations, and lifestyle requirements. All of which is provided on a clean, two page interface. RoomMatch creates a supply chain of prospects that have not yet been created by traditional lead generation services. They leverage pre-existing social connections from Facebook to connect users based on the number of common friends and interests.</t>
  </si>
  <si>
    <t>http://www.roommatch.co</t>
  </si>
  <si>
    <t>hello@roommatch.co</t>
  </si>
  <si>
    <t>(415) 967-1702</t>
  </si>
  <si>
    <t>Elliott Counts; Mike Whitfield; Uday Adhikari</t>
  </si>
  <si>
    <t>Marketplace; Real Estate; Social Media</t>
  </si>
  <si>
    <t>San Francisco</t>
  </si>
  <si>
    <t>D7 Sounds LLC</t>
  </si>
  <si>
    <t>d7-sounds-llc</t>
  </si>
  <si>
    <t>0b554007-66ce-468c-edf8-5c7810ae160d</t>
  </si>
  <si>
    <t>D7 Sounds is a digital record label and radio platform.</t>
  </si>
  <si>
    <t>D7 Sounds is a digital record label and radio platform. It also creates, curates, and produces music for individuals. The company comprises of several different genres and many styles of online music streaming such as BOULDER MOUNTAIN SOUND, FAMOUS HITS LIVE, Hit Parade Radio, and BAM RADIO. The musical artists of the company are Swamphammer and Deacon Jones Blues. The online store provides music CDs such as Country in the USA by Liz Kilgo and Jonesin‚Äô for Money by Deacon Jones. Management services of the company are representation, artist management, entertainment consultation, database directories, event management, and marketing services. D7 Sounds is a U.S.-based company was founded in 2015 by Richard Varrasso and Dennis Sanfilippo.</t>
  </si>
  <si>
    <t>http://www.d7sounds.com</t>
  </si>
  <si>
    <t>Dennis Sanfilippo; Richard Varrasso</t>
  </si>
  <si>
    <t>Digital Media; Internet Radio; Music; Music Streaming; Supply Chain Management</t>
  </si>
  <si>
    <t>Copperopolis</t>
  </si>
  <si>
    <t>Yaali BizApp</t>
  </si>
  <si>
    <t>yaali-bizapp-inc</t>
  </si>
  <si>
    <t>9edbdb32-aca0-f7d4-84c5-d67bd2f8cb41</t>
  </si>
  <si>
    <t>Order and Inventory Management Software for Online Wholesale and Retail Selling</t>
  </si>
  <si>
    <t>Yaali BizApp Order and Inventory Management Software allows you to organize and customize your sales and inventory management processes to meet the demands of the digital marketplace. Their goal is to add a slew of new features that will help every e-commerce business owner succeed and stand out in today's and tomorrow's global marketplaces.</t>
  </si>
  <si>
    <t>https://www.yaali.io/</t>
  </si>
  <si>
    <t>support@yaali.io</t>
  </si>
  <si>
    <t>+1 925 860 4130</t>
  </si>
  <si>
    <t>Arunkumar Neethi</t>
  </si>
  <si>
    <t>Business Development; E-Commerce; Enterprise Software; SaaS; Software; Supply Chain Management</t>
  </si>
  <si>
    <t>Newark</t>
  </si>
  <si>
    <t>Ecom Insurance</t>
  </si>
  <si>
    <t>ecom-insurance</t>
  </si>
  <si>
    <t>d1b3d0ae-79bc-46be-a15e-57028f179a65</t>
  </si>
  <si>
    <t>Insurance built for ecommerce sellers across Shopify, Amazon, WooCommerce, BigCommerce, and DTC brands.</t>
  </si>
  <si>
    <t>Ecom.insure is the specialty insurance brand built for ecommerce sellers ‚Äî Shopify, Amazon, WooCommerce, BigCommerce, Etsy, Walmart Marketplace, and DTC operators across every vertical. We place general liability, product liability, professional liability, cyber, business interruption, and tailored coverage that addresses the real risks ecommerce sellers face: product claims, marketplace suspensions, chargebacks, fulfillment errors, and supply chain disruption. Generic small-business insurance was built for brick-and-mortar retail. Ecom.insure was built for the way online sellers actually operate ‚Äî multi-channel, often inventory-light, frequently international, and exposed to platform-specific risks no traditional broker has even heard of. Founded by Ashlin Hadden, a 25-year independent insurance broker. A specialty brand of Ashlin Hadden Insurance, headquartered in Carmel, Indiana. Licensed nationwide.</t>
  </si>
  <si>
    <t>https://www.linkedin.com/in/ashlin-hadden-085a0033/</t>
  </si>
  <si>
    <t>https://ecom.insure/</t>
  </si>
  <si>
    <t>ashlin@ashlinhaddeninsurance.com</t>
  </si>
  <si>
    <t>Ashlin Hadden</t>
  </si>
  <si>
    <t>Commercial Insurance; E-Commerce; E-Commerce Platforms; Insurance; InsurTech; Marketplace; Property Insurance; Retail Technology</t>
  </si>
  <si>
    <t>Noblesville</t>
  </si>
  <si>
    <t>Ava</t>
  </si>
  <si>
    <t>ava-f81a</t>
  </si>
  <si>
    <t>9b86f261-d8f3-4ee0-9488-70ea5606f81a</t>
  </si>
  <si>
    <t>A SaaS platform for next-generation raw materials sourcing and management.</t>
  </si>
  <si>
    <t>https://www.linkedin.com/company/14034274/</t>
  </si>
  <si>
    <t>https://ava.exchange</t>
  </si>
  <si>
    <t>crunchbase@ava.exchange</t>
  </si>
  <si>
    <t>646-336-4971</t>
  </si>
  <si>
    <t>B2B; Procurement; Software; Supply Chain Management</t>
  </si>
  <si>
    <t>Blue Chip Fulfillment</t>
  </si>
  <si>
    <t>blue-chip-fulfillment</t>
  </si>
  <si>
    <t>83dbb6be-9cf0-4862-ac43-6c71dad488e9</t>
  </si>
  <si>
    <t>Blue Chip Fulfillment provides 3PL and 4PL warehousing, prep, and distribution services for e-commerce and wholesale businesses.</t>
  </si>
  <si>
    <t>Blue Chip Fulfillment provides third-party (3PL) and fourth-party (4PL) logistics services for e-commerce and wholesale businesses. The company handles storage, packaging, and distribution for a wide range of product sizes and order volumes. Its services include transloading, warehousing, Amazon FBA and retail prep, rework projects, pick and pack, and custom retail display assembly. Blue Chip Fulfillment also coordinates outbound transportation through trucking and drop shipping for clients worldwide.</t>
  </si>
  <si>
    <t>https://www.linkedin.com/company/blue-chip-fulfillment</t>
  </si>
  <si>
    <t>https://bluechipfulfillment.com</t>
  </si>
  <si>
    <t>info@bluechipfulfillment.com</t>
  </si>
  <si>
    <t>Delivery; E-Commerce; Freight Service; Logistics; Packaging Services; Retail; Shipping; Supply Chain Management; Transportation; Warehousing</t>
  </si>
  <si>
    <t>Egg Harbor Township</t>
  </si>
  <si>
    <t>S2S Development Inc.</t>
  </si>
  <si>
    <t>s2s-development-inc</t>
  </si>
  <si>
    <t>24ab4f54-c390-77d5-fc32-ccb824b889e1</t>
  </si>
  <si>
    <t>S2S Development is a software that links marketplaces with supply chain solutions.</t>
  </si>
  <si>
    <t>S2S Development concentrates on wholesale solutions for businesses with controlled products. Their web- and app-based solutions enable vertical integration while remaining compliant with various regulated marketplaces. Through the use of exclusive web-based technologies and a direct connection to our authorized logistics network, they can overcome obstacles.</t>
  </si>
  <si>
    <t>http://www.s2s-inc.com/</t>
  </si>
  <si>
    <t>dan@s2s-inc.com</t>
  </si>
  <si>
    <t>B2B; Wholesale</t>
  </si>
  <si>
    <t>NAL Worldwide Holdings</t>
  </si>
  <si>
    <t>nal-worldwide-holdings</t>
  </si>
  <si>
    <t>10839fef-920f-f20e-e746-820fe000d1ad</t>
  </si>
  <si>
    <t>NAL Worldwide is a leading provider of specialized solutions tailored to complex supply chains.</t>
  </si>
  <si>
    <t>NAL Worldwide is a leading provider of specialized solutions tailored to complex supply chains. There suite of solutions is designed to optimize your supply chain by lowering your costs and increasing your inventory visibility for better decision support. Drawing upon there unique network of resources and tools, they collaborate with clients to craft solutions that provide relevant, tangible results.</t>
  </si>
  <si>
    <t>http://www.nalworldwide.com</t>
  </si>
  <si>
    <t>info@nalworldwide.com</t>
  </si>
  <si>
    <t>(630) 261-3100</t>
  </si>
  <si>
    <t>Addison</t>
  </si>
  <si>
    <t>Intelligence Market Research</t>
  </si>
  <si>
    <t>intelligence-market-research</t>
  </si>
  <si>
    <t>dcb769db-335a-4cae-9f50-3ad0f85f0841</t>
  </si>
  <si>
    <t>Intelligence Market Research &amp; Consulting, LLP (IMRC) is a global provider of research reports, business intelligence &amp; consulting services.</t>
  </si>
  <si>
    <t>Intelligence Market Research &amp; Consulting, LLP (IMRC) is a global provider of research reports, business intelligence &amp; consulting services. We know and understand the importance of market research data for your institution. Therefore, we have teamed up with the leading research institutes and strategy specialists to bring to you the latest, niche and most relevant statistical research. At IMRC, we have one of the most exhaustive, highly reliable database of market research reports sourced from publishers and authors after a thorough quality check and screening of the market study and credentials. We have a team of key market experts who evaluate the market size, growth prospects, end-use, applications, value &amp; supply chain and top vendors in the industry to help the clients to take most accurate and logical business decisions without any vague assumptions. Market Research Reports and Consulting Services: At Intelligence Market Research &amp; Consulting, LLP (IMRC) in order to cater to enterprises specific research and consulting requirements, we have collected most wide-ranging set of market research studies that span across every vertical/industries of the world. Along with market research reports we also provide services like Custom market studies, Consulting, Periodic Newsletters and Research-On-Demand. We at intelligence Market Research &amp; Consulting, LLP (IMRC) adhere to the industry best practices with most accurate research studies done under the guidance of seasoned industry experts. Value Added Services We help our clients to find the most appropriate solutions to their problem from the tons of material available to their disposal. IMRC help organizations to optimize the process of finding the appropriate solution and save their valuable time. Therefore, helping you to maximize your ROI with just the reight research report. We work tirelessly to provide our customers with an unparalleled experience in their search for market research reports at most exciting prices available. How We Are Different? We believe in offering quality over quantity. Our reports offer a 360 degree outlook of market. Effective presentation of industry facts and figures through pie charts, bar graphs and logical info graphics are the key element of our report.</t>
  </si>
  <si>
    <t>https://www.linkedin.com/company/intelligence-market-research/</t>
  </si>
  <si>
    <t>http://www.intelligencemarketresearch.com/</t>
  </si>
  <si>
    <t>sales@intelligencemarketresearch.com</t>
  </si>
  <si>
    <t>+1 209 691 5657</t>
  </si>
  <si>
    <t>Market Research</t>
  </si>
  <si>
    <t>Saugatuck</t>
  </si>
  <si>
    <t>Pingtree</t>
  </si>
  <si>
    <t>pingtree</t>
  </si>
  <si>
    <t>16c3560c-7683-47a7-879c-3b4f3f9b3b7d</t>
  </si>
  <si>
    <t>Like SAP Ariba Network for contact managment</t>
  </si>
  <si>
    <t>Right now collaboration between supply-chain trading partners is being hindered by isolated contact management systems that don't talk to each other. Pingtree is a contact management network that empowers trading partners to exchange direct contact information with each other and makes every contact accessible to stakeholders through an Outlook contact folder. In this way, Pingtree transforms complex supply-chains to run, look, and feel like one agile organization.</t>
  </si>
  <si>
    <t>https://www.linkedin.com/company/9294366?trk</t>
  </si>
  <si>
    <t>https://pingtreeapp.com/</t>
  </si>
  <si>
    <t>Jon Stolmeier</t>
  </si>
  <si>
    <t>Contact Management; Productivity Tools</t>
  </si>
  <si>
    <t>San Antonio</t>
  </si>
  <si>
    <t>BLUE WHALE TRUCKING INC.</t>
  </si>
  <si>
    <t>blue-whale-trucking-inc</t>
  </si>
  <si>
    <t>42ab0776-74d5-4ab5-b01c-dcc02b400e6a</t>
  </si>
  <si>
    <t>Blue Whale Trucking provides interstate freight trucking and logistics coordination services for commercial cargo loads.</t>
  </si>
  <si>
    <t>Blue Whale Trucking provides interstate freight trucking and logistics coordination services for commercial cargo loads. The company operates as an authorized for-hire motor carrier, arranging localized and long-haul transportation of general freight across domestic state corridors. It relies on owner-operator equipment models and dedicated carrier arrangements to move cargo between shippers and destinations. Blue Whale Trucking manages dispatching, billing processes, and compliance oversight to align with federal motor carrier safety regulations. The company focuses on coordinating safe and efficient movement of goods within a broader network of independent commercial freight operators.</t>
  </si>
  <si>
    <t>https://bluewhaletrucking.com/</t>
  </si>
  <si>
    <t>xuhong82888@gmail.com</t>
  </si>
  <si>
    <t>(201) 693-4567</t>
  </si>
  <si>
    <t>Fleet Management; Freight Service; Logistics; Shipping; Supply Chain Management; Transportation</t>
  </si>
  <si>
    <t>Irvine</t>
  </si>
  <si>
    <t>4gen Bearing</t>
  </si>
  <si>
    <t>4gen-bearing</t>
  </si>
  <si>
    <t>44c10d2a-4584-42d3-bf01-822288cd4574</t>
  </si>
  <si>
    <t>4GEN Bearing manufactures ball bearings, chains, and sprockets for industrial machinery applications.</t>
  </si>
  <si>
    <t>4GEN Bearing manufactures ball bearings and related power transmission components for industrial machinery. The company produces bearings with operations in Argentina, China, and the United States, supported by a global team of industrial machinery professionals. 4GEN Bearing supplies products such as bearings, chain, and sprockets for OEMs, distributors, and end users in mechanical and industrial sectors. It emphasizes long-term relationships and multi-generation manufacturing experience in the bearing industry.</t>
  </si>
  <si>
    <t>https://www.linkedin.com/company/4gen-bearing</t>
  </si>
  <si>
    <t>https://www.4genbearing.com</t>
  </si>
  <si>
    <t>family@4genbearing.com</t>
  </si>
  <si>
    <t>Industrial; Industrial Manufacturing; Machinery Manufacturing; Manufacturing; Mechanical Design; Mechanical Engineering; Supply Chain Management</t>
  </si>
  <si>
    <t>Waukegan</t>
  </si>
  <si>
    <t>DLE Logistics &amp; Consulting</t>
  </si>
  <si>
    <t>dle-logistics-consulting</t>
  </si>
  <si>
    <t>484ac292-1f67-426a-aaff-9c61f0afeb45</t>
  </si>
  <si>
    <t>Operations and supply chain consulting firm providing logistics, procurement, and operational leadership services.</t>
  </si>
  <si>
    <t>DLE Logistics &amp; Consulting is an operations and supply chain consulting firm focused on logistics optimization, procurement strategy, and operational execution. The firm supports organizations across public and private sectors by improving efficiency, strengthening processes, and delivering scalable operational solutions.</t>
  </si>
  <si>
    <t>danlegacyenterprises@gmail.com</t>
  </si>
  <si>
    <t>Logistics; Management Consulting; Procurement; Supply Chain Management</t>
  </si>
  <si>
    <t>Smart Track Logistics</t>
  </si>
  <si>
    <t>smart-track-logistics</t>
  </si>
  <si>
    <t>bf47c999-47d8-25dc-212c-c30df19df551</t>
  </si>
  <si>
    <t>Smart Track Logistics is a provider of cloud-based solutions for supply chain management, freight planning, and scheduling.</t>
  </si>
  <si>
    <t>Smart Track provides cloud-based software and solutions for freight planning and scheduling, transportation tracking, and inbound and outbound dock management.  The target markets and core set of features of the company's flagship software aligns well with those of NASCENT's existing readyAGS product.</t>
  </si>
  <si>
    <t>https://www.linkedin.com/company/smart-track-logistics</t>
  </si>
  <si>
    <t>http://smarttacklogistics.com</t>
  </si>
  <si>
    <t>Logistics; Software</t>
  </si>
  <si>
    <t>Jacksonville</t>
  </si>
  <si>
    <t>Pasquariello Graphics</t>
  </si>
  <si>
    <t>pasquariello-graphics</t>
  </si>
  <si>
    <t>46b3b311-22c4-427e-a42c-647ba9cb7d78</t>
  </si>
  <si>
    <t>Pasquariello Graphics sells and services new and used printing and finishing equipment, specializing in reconditioned MBO folders and parts.</t>
  </si>
  <si>
    <t>Pasquariello Graphics sells, rebuilds, and services printing and bindery equipment for commercial print operations. The company specializes in reconditioning MBO folders and related machinery, offering used and rebuilt units, parts, and accessories. Pasquariello Graphics also provides custom digital finishing units and used glue systems. Services include machinery sourcing, rebuilding, installation, training, and on-site technical support. Its warehouse and rebuild center support equipment refurbishment and parts inventory for customers in the printing industry.</t>
  </si>
  <si>
    <t>https://www.linkedin.com/company/pasquariello-graphics-inc</t>
  </si>
  <si>
    <t>https://pasqgraphics.com</t>
  </si>
  <si>
    <t>rcabral@pasqgraphics.com</t>
  </si>
  <si>
    <t>Commercial; Customer Service; Industrial Manufacturing; Machinery Manufacturing; Manufacturing; Printing; Supply Chain Management; Training</t>
  </si>
  <si>
    <t>North Attleboro</t>
  </si>
  <si>
    <t>TLG Holding Company</t>
  </si>
  <si>
    <t>tlg-holding-company</t>
  </si>
  <si>
    <t>ed38c0cc-122f-4bc9-bf33-e6e49e3e6369</t>
  </si>
  <si>
    <t>Logistics and supply chain holding company</t>
  </si>
  <si>
    <t>http://www.tlg-cs.com</t>
  </si>
  <si>
    <t>Stephen Oatley</t>
  </si>
  <si>
    <t>Port St. Lucie</t>
  </si>
  <si>
    <t>PS GoLive</t>
  </si>
  <si>
    <t>ps-golive</t>
  </si>
  <si>
    <t>0cb305ac-4839-df27-4c94-2c45b12fcb81</t>
  </si>
  <si>
    <t>PS GoLive LLC provides services for PeopleSoft Enterprise products and business processes. It offers project charter development; detailed</t>
  </si>
  <si>
    <t>PS GoLive LLC provides services for PeopleSoft Enterprise products and business processes. It offers project charter development; detailed requirements analysis; software design and build; unit testing; integrated system testing; training; project management services to deploy and manage iPath controlled projects; implementation planning workshop; project quality audit; business process definition/customization design; development and delivery; test planning; technical administration; and upgrade planning services. The company offers services for PeopleSoft Enterprise products and business processes that focus on supply chain management, customer relationship management, and on integrated financials. It serves manufacturing, distribution, and or services industries. The company was founded in 2001 and is headquartered in North Palm Beach, Florida. As of November 25, 2008, PS GoLive LLC operates as a subsidiary of Zanett Inc.</t>
  </si>
  <si>
    <t>http://www.psgolive.com</t>
  </si>
  <si>
    <t>561-841-1841</t>
  </si>
  <si>
    <t>Consulting; Information Technology; Legal; Software</t>
  </si>
  <si>
    <t>North Palm Beach</t>
  </si>
  <si>
    <t>Blefa Kegs, Inc.</t>
  </si>
  <si>
    <t>blefa-kegs-inc</t>
  </si>
  <si>
    <t>6f4a8c5c-0397-443f-8634-f893c964ebae</t>
  </si>
  <si>
    <t>Blefa Kegs, Inc. supplies stainless steel beverage kegs, certified pre-owned kegs, and keg services for breweries and beverage producers.</t>
  </si>
  <si>
    <t>Blefa Kegs, Inc. supplies stainless steel kegs and related services for breweries, cider makers, wineries, and other beverage producers. The company offers German-made and US-made 1/2 BBL and 1/6 BBL beer, wine, and soft drink kegs built from AISI 304 stainless steel. It provides Kwik Kegs from US stock, certified pre-owned refurbished kegs, and comprehensive keg maintenance and refurbishment programs. Blefa Kegs, Inc. supports customers with preventive keg service, warranty-backed kegs, and logistics-oriented keg fleet solutions across North America.</t>
  </si>
  <si>
    <t>https://www.linkedin.com/company/blefa-kegs-inc/</t>
  </si>
  <si>
    <t>https://blefakegs.us</t>
  </si>
  <si>
    <t>info.us@blefakegs.com</t>
  </si>
  <si>
    <t>Brewing; Food and Beverage; Industrial; Logistics; Manufacturing; Packaging Services; Supply Chain Management</t>
  </si>
  <si>
    <t>La Vergne</t>
  </si>
  <si>
    <t>Vantage Aerospace, Inc.</t>
  </si>
  <si>
    <t>vantage-aerospace-inc</t>
  </si>
  <si>
    <t>7aca2a64-c68b-4329-b753-3448d67b0422</t>
  </si>
  <si>
    <t>Vantage Aerospace supplies aviation repairs, aftermarket spares, and engineering support for military and commercial aircraft.</t>
  </si>
  <si>
    <t>Vantage Aerospace supplies aviation repairs, aftermarket spares, and engineering support for military and commercial aircraft. The company supports airframe and structures, hydraulic, pneumatic and fuel systems, flight controls, avionics, and other components. Its customer base includes U.S. and allied military forces, commercial airlines, repair stations, and owner/operators. Supported platforms include C-130 Hercules, T-34, T-44, F-15, F-16, E-2C, A-4, F-4, F-5, Boeing passenger jets, and multiple helicopter models such as UH-1, 412, UH-60, CH-47, Bell, and Sikorsky. Vantage Aerospace holds ISO9001:2015 certification.</t>
  </si>
  <si>
    <t>https://www.linkedin.com/company/vantage-aerospace-inc/</t>
  </si>
  <si>
    <t>https://www.vantageaero.com</t>
  </si>
  <si>
    <t>info@vantageaero.com</t>
  </si>
  <si>
    <t>+1 714-540-0600</t>
  </si>
  <si>
    <t>Aerospace; Air Transportation; Customer Service; Industrial; Logistics; Manufacturing; Mechanical Engineering; Military; Supply Chain Management</t>
  </si>
  <si>
    <t>Costa Mesa</t>
  </si>
  <si>
    <t>Winnett Perico</t>
  </si>
  <si>
    <t>winnett-perico</t>
  </si>
  <si>
    <t>7e03f869-75dd-9cfa-f1a8-1d63a72fd308</t>
  </si>
  <si>
    <t>Winnett Perico is an operator of a food supply platform used to offer organic fresh foods.</t>
  </si>
  <si>
    <t>Winnett Perico is an operator of a food supply platform used to offer organic fresh foods. The company specializes in select organic vegetables, grains, and beef, three hyper-growth segments of the fast-growing organic foods market. It produces farm-fresh vegetables, fruits, and meat products, cultivated in a natural environment without any chemicals that enable consumers to avail premium quality organic food items at an affordable price.</t>
  </si>
  <si>
    <t>https://www.linkedin.com/company/winnettorganics</t>
  </si>
  <si>
    <t>http://www.winnettorganics.com/</t>
  </si>
  <si>
    <t>623-207-9675</t>
  </si>
  <si>
    <t>Hospitality; Logistics; Organic; Organic Food; Supply Chain Management; Wholesale</t>
  </si>
  <si>
    <t>Tucson</t>
  </si>
  <si>
    <t>Diamond Head Associates</t>
  </si>
  <si>
    <t>diamond-head-associates</t>
  </si>
  <si>
    <t>82b7169b-a104-4011-9f99-1e8f7d902de9</t>
  </si>
  <si>
    <t>Diamond Head Associates is a logistics company optimizing supply chain strategy, performance, and investment.</t>
  </si>
  <si>
    <t>Diamond Head Associates is a logistics company optimizing supply chain strategy, performance, and investment. By applying advanced analytics tools such as simulation and optimization, they help clients realize significant operational improvements in current operations, and provide a quantitative framework for strategic planning of future operations, for their Supply Chain or Service Network structure and operations. The company offers supply chain performance analysis and simulation modeling software for production and manufacturing, material handling, and distribution. It was founded in 2009 and is based in Encinitas, California, USA.</t>
  </si>
  <si>
    <t>https://www.linkedin.com/company/diamond-head-associates</t>
  </si>
  <si>
    <t>http://www.diamond-head-associates.com/</t>
  </si>
  <si>
    <t>Ricki Ingalls</t>
  </si>
  <si>
    <t>Encinitas</t>
  </si>
  <si>
    <t>SCM Focus</t>
  </si>
  <si>
    <t>scm-focus</t>
  </si>
  <si>
    <t>03a7e367-7628-b039-c3eb-bb0fef25ec6b</t>
  </si>
  <si>
    <t>A website and independent consulting company focused on supply chain planning software.</t>
  </si>
  <si>
    <t>https://www.linkedin.com/company/brightwork-research-&amp;-analysis</t>
  </si>
  <si>
    <t>http://scmfocus.com</t>
  </si>
  <si>
    <t>408 490 0241</t>
  </si>
  <si>
    <t>Consulting; Software</t>
  </si>
  <si>
    <t>Phoenix</t>
  </si>
  <si>
    <t>EdgeAX</t>
  </si>
  <si>
    <t>edgeax</t>
  </si>
  <si>
    <t>df80e36c-6b2f-0eed-2f27-576fc36a7d93</t>
  </si>
  <si>
    <t>EdgeAX PLM is a Product Lifecycle Management (PLM) solution embedded in Microsoft Dynamics AX 2012 that harnesses the unique power of AX.</t>
  </si>
  <si>
    <t>EdgeAX PLM is a Product Lifecycle Management (PLM) solution embedded in Microsoft Dynamics AX 2012 that harnesses the unique power of AX. It helps companies accelerate product innovation and maximize product profitability through robust management of the information, processes and decisions about their products across the enterprise and the global product network.  EdgeAX PLM provides powerful seasonal line planning with precise specification packages that speed up business collaboration with vendors all around the world. It also provides seamless out of the box integration with the downstream supply chain processes to enhance business performance. For more information, visit www.edgeax.com or feel free to email us at sales@edgeax.com or call 609-462-0700.</t>
  </si>
  <si>
    <t>http://www.linkedin.com/company/edgeax</t>
  </si>
  <si>
    <t>http://www.edgeax.com</t>
  </si>
  <si>
    <t>trinsley@edgeax.com</t>
  </si>
  <si>
    <t>+60 6094520700 ext. 1116</t>
  </si>
  <si>
    <t>Fashion; Retail; Software</t>
  </si>
  <si>
    <t>Cranbury</t>
  </si>
  <si>
    <t>Service First Merchandising, Inc.</t>
  </si>
  <si>
    <t>service-first-merchandising-inc-9c10</t>
  </si>
  <si>
    <t>66f9a683-c019-4594-bef8-29a900be9c10</t>
  </si>
  <si>
    <t>Service First Merchandising provides live-goods merchandising services for wholesale vendors in large retail chain stores.</t>
  </si>
  <si>
    <t>Service First Merchandising provides live-goods merchandising services for wholesale vendors supplying large retail chain stores. The company focuses on live plant and garden product care, including exclusive watering, cleaning, culling, and inventory maintenance. Its teams unpack deliveries, organize and set up displays, and maintain signage such as price and point-of-purchase signs. Service First Merchandising also monitors retailer adherence to vendor contracts and uses a phone-based clock-in system to track coverage. Services are structured around the requirements of the live goods being serviced and are offered on a seven-day-per-week coverage basis unless otherwise agreed with clients.</t>
  </si>
  <si>
    <t>https://www.sfmerch.com</t>
  </si>
  <si>
    <t>Jason@sfmerch.com</t>
  </si>
  <si>
    <t>Agriculture; Consumer Goods; Facilities Support Services; Livestock; Marketing; Retail; Supply Chain Management; Wholesale</t>
  </si>
  <si>
    <t>Cheshire</t>
  </si>
  <si>
    <t>Group XI Health</t>
  </si>
  <si>
    <t>group-xi-health</t>
  </si>
  <si>
    <t>f52cfc59-ee85-4f3b-aa08-c0cac02e573b</t>
  </si>
  <si>
    <t>Group XI Health is committed to rehabilitating healthcare.</t>
  </si>
  <si>
    <t>Group XI Health's platform is built to eliminate hidden carrier agendas, data transparency concerns, exclusionary networks, and cost issues.¬†This is a wholesale distributor of personal protective equipment and other healthcare products.</t>
  </si>
  <si>
    <t>https://www.linkedin.com/company/groupxihealth/</t>
  </si>
  <si>
    <t>https://www.groupxihealth.com</t>
  </si>
  <si>
    <t>info@groupxihealth.com</t>
  </si>
  <si>
    <t>+1 314 282 5479</t>
  </si>
  <si>
    <t>Health Care; Medical Device; Supply Chain Management; Wholesale</t>
  </si>
  <si>
    <t>Edwardsville</t>
  </si>
  <si>
    <t>Droneventory</t>
  </si>
  <si>
    <t>droneventory</t>
  </si>
  <si>
    <t>7481458d-ce38-4389-995a-269b8943f940</t>
  </si>
  <si>
    <t>Automated security and supply chain solutions.</t>
  </si>
  <si>
    <t>We develop and deploy the best condition-based real-time surveillance, intelligence and protection solutions for the supply chain and public safety markets.</t>
  </si>
  <si>
    <t>https://droneventory.com/</t>
  </si>
  <si>
    <t>anickerson@dvcor.com</t>
  </si>
  <si>
    <t>858-900-8335</t>
  </si>
  <si>
    <t>Andy Nickerson; Mark Bernard</t>
  </si>
  <si>
    <t>Drone Management; Drones</t>
  </si>
  <si>
    <t>emere</t>
  </si>
  <si>
    <t>emere-inc</t>
  </si>
  <si>
    <t>179de4d3-1b5d-1681-30bb-c51eb42d73ec</t>
  </si>
  <si>
    <t>emer offers a mobile commerce solution for the retail industry.</t>
  </si>
  <si>
    <t>emere is positioned to be a disruptive business in retail with a unique mobile commerce solution that shrinks the supply chain and simplifies the payment model, enabling more direct interaction between supplier and consumer.  With our patent pending system and process, emere can eliminate or reduce transaction fees for retailers and offer an improved purchase experience for consumers, removing barriers for use and enabling a tighter relationship between supplier and consumer. Our initial target is the $20+ B retail vending and mobile food market with expansion into general retail.  With emere tools, retail vendors  can drive sales and push market special offers enabling expansion into non-traditional vended products like fresh foods or healthy foods.  This market will allow us to focus on the vending retailers with a low cost, no risk solution and allow each machine to pull initial consumers as we advertise promotions. With an initial focus on universities and the surrounding communities we can overcome the early ramp up challenges of focusing on broad, general markets.  Universities are ideal ecosystems for emere; concentrated progressive consumers who are intimately tied to their phones, willing to use new technology, and a large appetite for promotions and discounted products. As consumers opt in to receive special promotions and offers through their mobile device, emere can provide a mechanism for retail vending operators and their suppliers to communicate directly to the consumers in a market that historically has no communication with end consumers. emere offers retail vendors a mechanism for targeting of consumers based on individual buying patterns, purchase history, or location, providing the ability to drive sales of all products or specific products.  Never before have retail vendors been able to drive sales easily nor target offers to individuals or groups.  emere will help retail vendors drive their business while reducing costs.</t>
  </si>
  <si>
    <t>http://www.emeremobile.com</t>
  </si>
  <si>
    <t>E-Commerce; Online Portals; Retail</t>
  </si>
  <si>
    <t>Cadus Group</t>
  </si>
  <si>
    <t>cadus-group</t>
  </si>
  <si>
    <t>67b9bf45-cc9e-4b71-af82-5ae890345360</t>
  </si>
  <si>
    <t>Cadus Group is a U.S. based private equity and management firm.</t>
  </si>
  <si>
    <t>Cadus Group is a U.S. based private equity and management firm established in partnership with perennial Fortune Global 100 conglomerate C&amp;D Inc. (SSE: 600153).  The firm is focused on building a leading supply-chain and industrial real-estate platform through localization investments, strategic acquisitions, and global-local integration.  Headquartered in New York City and led by an independently cultivated local management team, Cadus combines deep regional expertise with the backing and global reach of one of largest and most esteemed supply-chain operators and real-estate groups in the world.   Cadus is currently positioned exceptionally well in private capital markets‚Äîparticularly for apparel and consumer-product brands in Early-to-Mid Growth Equity and Late Growth Pre-IPO stages that live or die by supply-chain resilience, cost volatility, and speed-to-market.  Our unique position as both co-sponsor and primary supplier has proven to be a paradigm shifter in the space.  One that is not only incredibly attractive to lead sponsors, but it greatly reduces partner COGS while creating pooled revenue streams via manufacturing and distribution margins as well as financing fees.</t>
  </si>
  <si>
    <t>https://linkedin.com/company/cadusgroup</t>
  </si>
  <si>
    <t>info@cadusgroup.com</t>
  </si>
  <si>
    <t>212-470-5771</t>
  </si>
  <si>
    <t>Consumer Goods; Health Care; Logistics; Manufacturing; Real Estate; Supply Chain Management; Venture Capital</t>
  </si>
  <si>
    <t>GoRigger</t>
  </si>
  <si>
    <t>gorigger</t>
  </si>
  <si>
    <t>20946890-0959-3f16-3cb2-b01f6d206e33</t>
  </si>
  <si>
    <t>Oil &amp; gas supply chain software company.</t>
  </si>
  <si>
    <t>http://www.gorigger.net</t>
  </si>
  <si>
    <t>+1 (832) 422-6839</t>
  </si>
  <si>
    <t>Neal Benedict</t>
  </si>
  <si>
    <t>Automotive; Logistics</t>
  </si>
  <si>
    <t>OneHubb</t>
  </si>
  <si>
    <t>onehubb-com</t>
  </si>
  <si>
    <t>a51c1ad9-fef7-1460-95e0-373f3f857729</t>
  </si>
  <si>
    <t>OneHubb provided an e‚Äëcommerce platform for building online stores and drop‚Äëshipping integration</t>
  </si>
  <si>
    <t>OneHubb is a powerful NEW software solution which allows suppliers and merchants to work together easily and quickly for the first time ever! OneHubb NOW simplifies the distribution, inventory, supply chain and sales process.  Our technology transforms how you think about inventory as products can be direct-shipped by OneHubb members - eliminating the need for large on-hand inventories.  Plus, as a participating supplying member (manufacturer, distributor, retailer, etc.) OneHubb creates a WHOLE NEW sales distribution channel, with the opportunity for your products to be listed on hundreds of websites at once!</t>
  </si>
  <si>
    <t>http://www.onehubb.com</t>
  </si>
  <si>
    <t>inquiries@onehubb.com</t>
  </si>
  <si>
    <t>866-348-2226</t>
  </si>
  <si>
    <t>E-Commerce; Software</t>
  </si>
  <si>
    <t>Seattle</t>
  </si>
  <si>
    <t>Material Harbor</t>
  </si>
  <si>
    <t>material-harbor</t>
  </si>
  <si>
    <t>473d5e28-d9bb-4cee-bd14-4ea5ca1eb3bc</t>
  </si>
  <si>
    <t>B2B marketplace connecting industrial material buyers and suppliers across aerospace, automotive, defense, and manufacturing.</t>
  </si>
  <si>
    <t>Material Harbor is a B2B industrial materials marketplace founded by aerospace engineers Justin and Michael Foster. After experiencing critical material shortages firsthand during aircraft production, the Foster brothers built Material Harbor to give manufacturers and suppliers a direct connection ‚Äî no brokers, no middlemen. Buyers can search 50,000+ verified industrial companies by material type, grade, certification (AS9100, ISO 9001, IATF 16949, NADCAP), and manufacturing process. Free to join at materialharbor.com.</t>
  </si>
  <si>
    <t>https://www.linkedin.com/company/material-harbor/about/?viewAsMember=true</t>
  </si>
  <si>
    <t>https://materialharbor.com/</t>
  </si>
  <si>
    <t>justin@materialharbor.com</t>
  </si>
  <si>
    <t>Justin Foster</t>
  </si>
  <si>
    <t>B2B; Manufacturing; Marketplace; Procurement; Supply Chain Management</t>
  </si>
  <si>
    <t>Savannah</t>
  </si>
  <si>
    <t>The Your. Company</t>
  </si>
  <si>
    <t>your-supply</t>
  </si>
  <si>
    <t>ae39ab18-157f-481c-a5d4-3d5fa3259694</t>
  </si>
  <si>
    <t>The Your. Company is a cannabis brokerage firm that helps with fundamental technology infrastructure and marketing reach.</t>
  </si>
  <si>
    <t>https://www.linkedin.com/company/yoursupply/</t>
  </si>
  <si>
    <t>http://www.TheYour.Co</t>
  </si>
  <si>
    <t>theyour.co@gmail.com</t>
  </si>
  <si>
    <t>+1 424-333-0117</t>
  </si>
  <si>
    <t>Matthew Zeitoun</t>
  </si>
  <si>
    <t>Cannabis; Supply Chain Management; Wholesale</t>
  </si>
  <si>
    <t>Elevate Insurance</t>
  </si>
  <si>
    <t>elevate-insurance</t>
  </si>
  <si>
    <t>8e73aef2-3375-4fda-bb97-1be7f8199907</t>
  </si>
  <si>
    <t>Product liability and product-focused insurance for manufacturers, importers, private-label brands, and product-based businesses.</t>
  </si>
  <si>
    <t>Insure My Products is the specialty insurance brand built for businesses whose primary risk is the product itself ‚Äî manufacturers, importers, private-label brands, white-label sellers, inventors, and product-based businesses across consumer goods, apparel, beauty, food, supplements, hardware, and more. We place product liability, general liability, recall coverage, professional liability, cyber, and tailored product-focused policies through carriers that understand supply chain risk, factory liability allocation, and the difference between a defective design and a defective unit. Most product brands either get sold a generic small-business policy that excludes their actual exposure, or get refused entirely once a carrier sees the words "imported" or "manufactured overseas." Insure My Products was built to cover the businesses other brokers won't. Founded by Ashlin Hadden, a 25-year independent insurance broker. A specialty brand of Ashlin Hadden Insurance, headquartered in Carmel, Indiana. Licensed nationwide.</t>
  </si>
  <si>
    <t>https://insuremyproducts.com/</t>
  </si>
  <si>
    <t>765-432-8989</t>
  </si>
  <si>
    <t>Commercial Insurance; Consumer Goods; Insurance; Logistics; Manufacturing; Property Insurance; Supply Chain Management</t>
  </si>
  <si>
    <t>retraced</t>
  </si>
  <si>
    <t>b5f1d6c5-c365-47b2-94e2-73147f80c5a7</t>
  </si>
  <si>
    <t>Retraced provides a SaaS solution enabling tracing of fashion supply chains with Blockchain technology.</t>
  </si>
  <si>
    <t>Retraced is a blockchain-powered transparency platform that provides the end-consumer with relevant and reliable supply chain information to help verify sustainability and fairness. Through transparency, they help the fashion industry to win more clients and gain trust. The company was founded in 2019 and is based in D√ºsseldorf, Germany.</t>
  </si>
  <si>
    <t>https://www.linkedin.com/company/retraced</t>
  </si>
  <si>
    <t>https://retraced.co</t>
  </si>
  <si>
    <t>hello@retraced.co</t>
  </si>
  <si>
    <t>Lukas P√ºnder; Peter Merkert; Philipp Mayer</t>
  </si>
  <si>
    <t>Blockchain; Fashion; Retail Technology; SaaS; Supply Chain Management</t>
  </si>
  <si>
    <t>D√ºsseldorf</t>
  </si>
  <si>
    <t>engineering; information_technology; marketing; operations; product; sales</t>
  </si>
  <si>
    <t>WR Group</t>
  </si>
  <si>
    <t>wr-group-b575</t>
  </si>
  <si>
    <t>2fe3f11f-e1a6-4350-b8c8-8276ae99b575</t>
  </si>
  <si>
    <t>WR Group is a supply chain company that offers goods and equipment certification, customs services, and project logistics solutions.</t>
  </si>
  <si>
    <t>https://www.linkedin.com/company/wrgrp/</t>
  </si>
  <si>
    <t>https://www.wr-group.global/</t>
  </si>
  <si>
    <t>info@wr-group.global</t>
  </si>
  <si>
    <t>+49 211 972683-50</t>
  </si>
  <si>
    <t>Wadim Rosenstein</t>
  </si>
  <si>
    <t>UPLINK Network</t>
  </si>
  <si>
    <t>uplink-network-gmbh</t>
  </si>
  <si>
    <t>f7dd691a-c860-4ed6-98be-cf02127cd5bf</t>
  </si>
  <si>
    <t>UPLINK Network provides consulting, implementation, and management services in ‚Äãinfrastructure, network, and collaboration.</t>
  </si>
  <si>
    <t>UPLINK Network focuses as an independent and flexible provider on consulting, setup, and operation in analogue and digital transmitter network technology. The company challenges deadlocked structures and find answers to how existing markets can work better for everyone involved. It develops solutions to optimize the products and services for customers and the environment. As a supplier for the operation of transmitter networks, it offers a wide range of products and services. The offer ranges from the mere transport of data to the processing and broadcasting of content of various kinds. In addition to the structure and operation, there is a comprehensive range of advice on technical topics and questions of deregulation. UPLINK Network is based in Dusseldorf, Germany.</t>
  </si>
  <si>
    <t>https://www.linkedin.com/company/uplink-network/</t>
  </si>
  <si>
    <t>http://www.uplink-network.de/</t>
  </si>
  <si>
    <t>kontakt@uplink-network.de</t>
  </si>
  <si>
    <t>+49 0 211 4174 0 1000</t>
  </si>
  <si>
    <t>Consulting; Content; Digital Signage; Supply Chain Management; Telecommunications</t>
  </si>
  <si>
    <t>The Sustainable Procurement Pledge</t>
  </si>
  <si>
    <t>the-sustainable-procurement-pledge</t>
  </si>
  <si>
    <t>b8d54c81-72aa-4c25-a96c-00cabb5f4406</t>
  </si>
  <si>
    <t>The Sustainable Procurement Pledge is a pro-bono community committed to embedding sustainability into its procurement practices.</t>
  </si>
  <si>
    <t>SPP invites everyone to become a sustainable procurement ambassador by working together, sharing knowledge, and listening to others. It is aimed at all procurement professionals, academics, and students who wish to become Sustainability Ambassadors and use personal engagement to advance a Responsible Procurement agenda.  Contributes and has a critical role in ensuring responsible supply chains.  It was founded in 2019.</t>
  </si>
  <si>
    <t>https://www.linkedin.com/company/sustainable-procurement-pledge/</t>
  </si>
  <si>
    <t>https://spp.earth/</t>
  </si>
  <si>
    <t>Procurement; Supply Chain Management; Sustainability</t>
  </si>
  <si>
    <t>HOVELER HOLZMANN CONSULTING</t>
  </si>
  <si>
    <t>hoveler-holzmann-4398</t>
  </si>
  <si>
    <t>3480d748-a48c-4661-a0f4-919ee5934398</t>
  </si>
  <si>
    <t>HOVELER HOLZMANN CONSULTING provides procurement, supply chain, and purchasing optimization services.</t>
  </si>
  <si>
    <t>HOVELER HOLZMANN CONSULTING provides consulting, supply chain management, and supply chain optimization services, their services include order management, sales, and operations planning, purchasing advice, purchasing optimization, mechanical, and plant engineering, lean process management, and purchasing.</t>
  </si>
  <si>
    <t>https://www.linkedin.com/company/hoeveler-holzmann</t>
  </si>
  <si>
    <t>https://www.hoeveler-holzmann.com</t>
  </si>
  <si>
    <t>info@hoeveler-holzmann.com</t>
  </si>
  <si>
    <t>+49 0 211 56 38 75 0</t>
  </si>
  <si>
    <t>Consulting; Procurement; Supply Chain Management</t>
  </si>
  <si>
    <t>Leroma</t>
  </si>
  <si>
    <t>leroma</t>
  </si>
  <si>
    <t>e1c1b55c-f5e1-421c-81ac-7b960ecbbe40</t>
  </si>
  <si>
    <t>Leroma specializes in food tech, suppliers, sustainability, surplus exchange, remnants, B2B startup, and food industry services.</t>
  </si>
  <si>
    <t>https://www.linkedin.com/company/leroma-gmbh/</t>
  </si>
  <si>
    <t>https://leroma.com</t>
  </si>
  <si>
    <t>info@leroma.de</t>
  </si>
  <si>
    <t>+49 211 639 577 60</t>
  </si>
  <si>
    <t>Marina Billinger</t>
  </si>
  <si>
    <t>Food Processing; Internet; Supply Chain Management; Sustainability</t>
  </si>
  <si>
    <t>marketing; sales</t>
  </si>
  <si>
    <t>Livello</t>
  </si>
  <si>
    <t>livello-f20f</t>
  </si>
  <si>
    <t>7d926ad6-f1d0-491f-b604-a5e1fc37f20f</t>
  </si>
  <si>
    <t>Livello builds unattended autonomous smart-store technologies enabling retailers, caterers and food brands sell products 24 ‚ÅÑ7</t>
  </si>
  <si>
    <t>Livello is building the future of autonomous retail and supply-chain 4.0. Leveraging proprietary IoT sensor-fusion, computer-vision and cloud software, our Smart-Kiosk turns any fridge, freezer or shelf into a checkout-free micro-store that recognises products in real-time, charges customers automatically and feeds live inventory data to our Mission Control SaaS. Operators‚Äîfrom caterers and retailers to hotels and offices‚Äîdeploy Livello to extend opening hours, cut OPEX by 90 %, and offer fresh, healthy ‚Äúgrab-and-go‚Äù food, drinks and daily necessities wherever people work, travel or play.</t>
  </si>
  <si>
    <t>https://www.linkedin.com/company/65294621/</t>
  </si>
  <si>
    <t>https://www.livello.com</t>
  </si>
  <si>
    <t>hello@livello.com</t>
  </si>
  <si>
    <t>0211 63556321</t>
  </si>
  <si>
    <t>Hardware; Internet of Things; Retail Technology; SaaS; Software</t>
  </si>
  <si>
    <t>Bernshaus</t>
  </si>
  <si>
    <t>bernshaus</t>
  </si>
  <si>
    <t>bd98e5b7-6315-4d79-82c2-a3887f08f7f5</t>
  </si>
  <si>
    <t>Bernshaus is a provider of office supplies and stationery for citizens and companies.</t>
  </si>
  <si>
    <t>http://www.bernshaus.de/</t>
  </si>
  <si>
    <t>verkauf@bernshaus.de</t>
  </si>
  <si>
    <t>49-211-718 020 0</t>
  </si>
  <si>
    <t>Consumer; Customer Service; E-Commerce; Office Supplies; Supply Chain Management</t>
  </si>
  <si>
    <t>GIC International</t>
  </si>
  <si>
    <t>gic-international</t>
  </si>
  <si>
    <t>e0ebd4ed-d0f4-47c1-9403-1d075dec1534</t>
  </si>
  <si>
    <t>GIC International is an industrial supplies company that offers goods and raw materials for the steel, petrochemical, and energy industries.</t>
  </si>
  <si>
    <t>https://linkedin.com/company/gic-international-gmbh</t>
  </si>
  <si>
    <t>https://www.gic-international.de/</t>
  </si>
  <si>
    <t>info@gic-international.de</t>
  </si>
  <si>
    <t>+49 21169990960</t>
  </si>
  <si>
    <t>Industrial; Supply Chain Management; Wholesale</t>
  </si>
  <si>
    <t>Henk International</t>
  </si>
  <si>
    <t>henk-international</t>
  </si>
  <si>
    <t>b848efc1-912c-46a4-89bf-5208b23c1860</t>
  </si>
  <si>
    <t>Henk International is a moving company.</t>
  </si>
  <si>
    <t>Henk International is a logistics and supply chain company. A single source for residential and commercial moving services, including professional moves for businesses, assignment management, and standard services for private moves.</t>
  </si>
  <si>
    <t>https://www.linkedin.com/company/henk-international/</t>
  </si>
  <si>
    <t>https://www.henk-international.de</t>
  </si>
  <si>
    <t>info@henk-international.de</t>
  </si>
  <si>
    <t>+49 211 99 80 70</t>
  </si>
  <si>
    <t>Strategix CFT</t>
  </si>
  <si>
    <t>strategix-cft</t>
  </si>
  <si>
    <t>6a67bf51-47a3-471b-a941-feb931fe9147</t>
  </si>
  <si>
    <t>Strategix CFT is a global organization that provides integrated and market-proven solutions.</t>
  </si>
  <si>
    <t>Strategix CFT helps retail chains and manufacturers to attract customers to traditional stores with innovative and market-leading tools for space management, assortment planning, effective price optimization, supply chain management and easy-to-use mobile systems for field workers. They work to restore the importance of the store through digitization and networking.</t>
  </si>
  <si>
    <t>https://www.linkedin.com/company/strategix-enterprise-technology-gmbh/</t>
  </si>
  <si>
    <t>https://www.strategix.eu</t>
  </si>
  <si>
    <t>contact@strategix.de</t>
  </si>
  <si>
    <t>Consulting; Information Technology; Software; Training</t>
  </si>
  <si>
    <t>SRTS Europe</t>
  </si>
  <si>
    <t>srts-europe</t>
  </si>
  <si>
    <t>ecf88b5e-e975-4de1-b8ba-f28d89f8f763</t>
  </si>
  <si>
    <t>SRTS Europe is a logistics company specializing in distribution logistics, in-store services, intra-European transport, and insurance cover.</t>
  </si>
  <si>
    <t>https://www.linkedin.com/company/srts-europe-gmbh</t>
  </si>
  <si>
    <t>https://www.srts.biz</t>
  </si>
  <si>
    <t>info@srts.biz</t>
  </si>
  <si>
    <t>+49 211 3026510</t>
  </si>
  <si>
    <t>AIRA Pharm</t>
  </si>
  <si>
    <t>aira-pharm</t>
  </si>
  <si>
    <t>a808da80-741a-4ca2-9211-41dd954f43c2</t>
  </si>
  <si>
    <t>AIRA Pharm is an import and export company that specializes in supplying prescription drugs, medical devices, and related services.</t>
  </si>
  <si>
    <t>https://www.linkedin.com/company/airapharm/</t>
  </si>
  <si>
    <t>https://airapharm.de</t>
  </si>
  <si>
    <t>info@airapharm.de</t>
  </si>
  <si>
    <t>Health Care; Medical Device; Pharmaceutical; Supply Chain Management</t>
  </si>
  <si>
    <t>Topcom communication systems</t>
  </si>
  <si>
    <t>topcom-communication-systems</t>
  </si>
  <si>
    <t>59ae73cd-e368-4be5-9469-12b160e193e4</t>
  </si>
  <si>
    <t>Topcom communication systems is an IT services and consulting company.</t>
  </si>
  <si>
    <t>Topcom is a system integrator for connecting business with IT across all system and media breaks to create innovative end-to-end business process solutions. They offer solutions for robotic process automation (RPA), digital AU process, solutions for the energy industry, customer journey automation, supply chain automation, business communication, industry solutions. They provide services to industries such as energy, logistics, trade, industrial.</t>
  </si>
  <si>
    <t>https://www.linkedin.com/company/topcom-kommunikationssysteme-gmbh/</t>
  </si>
  <si>
    <t>https://www.topcom-group.de</t>
  </si>
  <si>
    <t>info@topcom-group.de</t>
  </si>
  <si>
    <t>+49 211 1746 0</t>
  </si>
  <si>
    <t>Consulting; Information Technology; Supply Chain Management</t>
  </si>
  <si>
    <t>Lebenswerk Consulting Group</t>
  </si>
  <si>
    <t>lebenswerk-consulting-group</t>
  </si>
  <si>
    <t>20495515-225b-4984-8fe7-64da9a2d78f6</t>
  </si>
  <si>
    <t>Lebenswerk Consulting Group specializes in sales performance, supply chain, and management services.</t>
  </si>
  <si>
    <t>https://www.linkedin.com/company/lebenswerk-consulting-group</t>
  </si>
  <si>
    <t>https://www.lebenswerkconsulting.com/en/</t>
  </si>
  <si>
    <t>info@lebenswerkconsulting.com</t>
  </si>
  <si>
    <t>+49 211 92415629</t>
  </si>
  <si>
    <t>Consulting; Logistics; Management Consulting; Sales</t>
  </si>
  <si>
    <t>Kerkhoff Consulting</t>
  </si>
  <si>
    <t>kerkhoff-consulting-fa56</t>
  </si>
  <si>
    <t>eaeeba33-9295-484f-8bcf-e38a35ecfa56</t>
  </si>
  <si>
    <t>Kerkhoff Consulting offers services in purchasing, procurement, and supply chain management.</t>
  </si>
  <si>
    <t>https://www.linkedin.com/company/kerkhoff-consulting/</t>
  </si>
  <si>
    <t>http://www.kerkhoff-consulting.com</t>
  </si>
  <si>
    <t>d.reghuvaran@kerkhoff-consulting.com</t>
  </si>
  <si>
    <t>49-211-6218061</t>
  </si>
  <si>
    <t>Frank Wiethoff</t>
  </si>
  <si>
    <t>Logistics; Management Consulting; Supply Chain Management</t>
  </si>
  <si>
    <t>multiScout</t>
  </si>
  <si>
    <t>multiscout</t>
  </si>
  <si>
    <t>db34aa74-235c-4e46-a13b-a8d85451da3a</t>
  </si>
  <si>
    <t>multiScout identifies, qualifies, and recruits talent for procurement, supply chain, and operational excellence.</t>
  </si>
  <si>
    <t>https://www.linkedin.com/company/multiscout-gmbh</t>
  </si>
  <si>
    <t>https://multiscout.com</t>
  </si>
  <si>
    <t>info@multiscout.de</t>
  </si>
  <si>
    <t>49 211 93 67 11 00</t>
  </si>
  <si>
    <t>Employment; Recruiting; Staffing Agency; Supply Chain Management</t>
  </si>
  <si>
    <t>Bungartz</t>
  </si>
  <si>
    <t>bungartz</t>
  </si>
  <si>
    <t>083638bd-e4e6-4397-a649-fefc4f05c2bf</t>
  </si>
  <si>
    <t>Bungartz is a manufacturer and supplier company that offers submerged and magnet-coupled chemical pump products.</t>
  </si>
  <si>
    <t>https://www.linkedin.com/company/paul-bungartz/</t>
  </si>
  <si>
    <t>http://www.bungartz.de</t>
  </si>
  <si>
    <t>vertrieb@bungartz.de</t>
  </si>
  <si>
    <t>Paul Bungart</t>
  </si>
  <si>
    <t>Industrial Design; Machinery Manufacturing; Manufacturing; Mechanical Engineering; Supply Chain Management</t>
  </si>
  <si>
    <t>Karl Kruse</t>
  </si>
  <si>
    <t>karl-kruse-d4d3</t>
  </si>
  <si>
    <t>bd6a1dcc-3ef4-4086-8ea0-ed2e4d34d4d3</t>
  </si>
  <si>
    <t>Karl Kruse is a distributor of electronic components including batteries, acoustic, antenna, and electromechanics to engineering firms.</t>
  </si>
  <si>
    <t>https://www.linkedin.com/company/karl-kruse-gmbh-&amp;-co-kg/</t>
  </si>
  <si>
    <t>https://kruse.de/</t>
  </si>
  <si>
    <t>info@kruse.de</t>
  </si>
  <si>
    <t>+49 0211-27403530</t>
  </si>
  <si>
    <t>Electronics; Semiconductor; Supply Chain Management</t>
  </si>
  <si>
    <t>European Pallet Association</t>
  </si>
  <si>
    <t>european-pallet-association</t>
  </si>
  <si>
    <t>be4e8b5b-6309-4e8f-bf6a-ce8236995890</t>
  </si>
  <si>
    <t>European Pallet Association is an international association for exchangeable Euro pallets.</t>
  </si>
  <si>
    <t>https://linkedin.com/company/european-pallet-association-epal</t>
  </si>
  <si>
    <t>https://www.epal.eu</t>
  </si>
  <si>
    <t>info@epal-pallets.org</t>
  </si>
  <si>
    <t>+49 211 98 480 48 0</t>
  </si>
  <si>
    <t>Association; Logistics; Non Profit; Supply Chain Management</t>
  </si>
  <si>
    <t>HCS Werbeservice &amp; Logistik</t>
  </si>
  <si>
    <t>hcs-werbeservice-logistik</t>
  </si>
  <si>
    <t>c647fcdb-958f-4a68-9a79-b7c172b0491f</t>
  </si>
  <si>
    <t>HCS Werbeservice &amp; Logistik provides advertising technicians for the realization of sales goals in trade and at trade fairs.</t>
  </si>
  <si>
    <t>http://www.werbelogistik.com</t>
  </si>
  <si>
    <t>info@werbelogistik.com</t>
  </si>
  <si>
    <t>0211.24 94 630</t>
  </si>
  <si>
    <t>Advertising; Logistics; Supply Chain Management</t>
  </si>
  <si>
    <t>Office Gold Club</t>
  </si>
  <si>
    <t>office-gold-club</t>
  </si>
  <si>
    <t>8f0c8ebf-1362-4221-92c9-c10b82f30c9d</t>
  </si>
  <si>
    <t>Office Gold Club is an office supplies supplier in D√ºsseldorf, Germany.</t>
  </si>
  <si>
    <t>http://www.office-gold-club.de/</t>
  </si>
  <si>
    <t>kontakt@office-gold-club.com</t>
  </si>
  <si>
    <t>49-711-7702571</t>
  </si>
  <si>
    <t>Consumer; Customer Service; Office Supplies; Supply Chain Management</t>
  </si>
  <si>
    <t>lavvell</t>
  </si>
  <si>
    <t>25de8763-7807-46da-b69c-97ecaeaa3d0d</t>
  </si>
  <si>
    <t>lavvell GmbH develops and distributes sustainable consumer brands, offering procurement, distribution, marketing, and e-commerce services.</t>
  </si>
  <si>
    <t>lavvell GmbH develops and distributes brands and products with a focus on sustainability and inclusive well-being. The company offers procurement and supply chain management, market entry consulting, and due diligence services. It also provides distribution, e-commerce operations, and shop management for consumer products. Its branding and design services cover corporate brand strategy, brand management, product branding, and packaging design. Marketing capabilities include content strategy, omni-channel campaigns, and social media content. Key industries served are food and beverage, health and wellness, and cosmetics and beauty, including nutraceutical and personal care products.</t>
  </si>
  <si>
    <t>http://www.linkedin.com/company/lavvell</t>
  </si>
  <si>
    <t>https://lavvell.com</t>
  </si>
  <si>
    <t>info@lavvell.com</t>
  </si>
  <si>
    <t>Brand Marketing; E-Commerce; Marketing; Supply Chain Management</t>
  </si>
  <si>
    <t>EONIQ</t>
  </si>
  <si>
    <t>eoniq-eafe</t>
  </si>
  <si>
    <t>691912dc-d46f-49cb-94b0-3a96236beafe</t>
  </si>
  <si>
    <t>AI-native transport management system for finished-vehicle logistics and automotive car carriers</t>
  </si>
  <si>
    <t>EONIQ builds LogiSense, the first AI-native Transport Management System designed specifically for finished-vehicle logistics carriers. The platform connects contracts, fleet operations, dispatch, load optimization, tracking, and invoicing into one modern system. EONIQ combines more than two decades of automotive logistics expertise with AI-native software architecture to help car carriers make better operational decisions, reduce IT spending, and increase fleet utilization. Founded in 2024 and headquartered in D√ºsseldorf, Germany.</t>
  </si>
  <si>
    <t>https://www.linkedin.com/company/eoniq-gmbh/</t>
  </si>
  <si>
    <t>https://www.eoniq.ai/</t>
  </si>
  <si>
    <t>info@eoniq.ai</t>
  </si>
  <si>
    <t>Matthias Berlit</t>
  </si>
  <si>
    <t>Artificial Intelligence (AI); Enterprise Software; Logistics; Supply Chain Management; Transportation</t>
  </si>
  <si>
    <t>Air Cargo Professionals</t>
  </si>
  <si>
    <t>air-cargo-professionals</t>
  </si>
  <si>
    <t>e930adb7-6e2d-4a1b-87e9-a849b920165f</t>
  </si>
  <si>
    <t>Air Cargo Professionals GmbH provides international freight forwarding services across airfreight, ocean freight, trucking, and imports.</t>
  </si>
  <si>
    <t>Air Cargo Professionals GmbH provides international freight forwarding and logistics services for commercial customers. The company handles airfreight exports and imports, oceanfreight shipments, and European truck transport, including special transports. It supports customs clearance at German border customs offices through NCTS connectivity and import customs expertise. Air Cargo Professionals offers advisory services on transport planning, packaging, and documentation, including customs, country rules, dangerous goods, and consular requirements. Services are coordinated from its office at the DUS Air Cargo Center with a team of freight specialists and a global agent network.</t>
  </si>
  <si>
    <t>https://www.linkedin.com/company/air-cargo-professionals-gmbh</t>
  </si>
  <si>
    <t>https://www.acpdus.com</t>
  </si>
  <si>
    <t>ops@acpdus.com</t>
  </si>
  <si>
    <t>+49 0 211 171665 0</t>
  </si>
  <si>
    <t>Advice; Air Transportation; Consulting; Freight Service; Logistics; Supply Chain Management; Transportation</t>
  </si>
  <si>
    <t>AeroConsol</t>
  </si>
  <si>
    <t>aeroconsol</t>
  </si>
  <si>
    <t>be3878e4-0ec0-4059-9cad-067ec04cac11</t>
  </si>
  <si>
    <t>AeroConsol GmbH provides neutral airfreight wholesale services, including consolidations, cross-trade, and export/import solutions.</t>
  </si>
  <si>
    <t>AeroConsol GmbH provides neutral airfreight wholesale services for freight forwarders and logistics partners. The company focuses on European airfreight solutions from Frankfurt and other German airports, using D√ºsseldorf Airport as a central hub. Services include neutral airfreight consolidation, final mile delivery solutions, booking services for non-IATA agents, and access to a worldwide logistics network. AeroConsol also supports cross-trade shipments and export and import handling across multiple industries such as automotive, industrial construction, metal engineering, and energy.</t>
  </si>
  <si>
    <t>https://www.linkedin.com/company/aeroconsol</t>
  </si>
  <si>
    <t>https://aeroconsol.de</t>
  </si>
  <si>
    <t>info@aeroconsol.de</t>
  </si>
  <si>
    <t>+49 211 47 20 619</t>
  </si>
  <si>
    <t>Air Transportation; Freight Service; Logistics; Supply Chain Management; Transportation</t>
  </si>
  <si>
    <t>Agrologistics</t>
  </si>
  <si>
    <t>agrologistics</t>
  </si>
  <si>
    <t>b26161a3-86ea-4380-af3a-402e438676da</t>
  </si>
  <si>
    <t>Agrologistics provides agribusiness consulting, 4PL logistics, green logistics and hydroponic technology services.</t>
  </si>
  <si>
    <t>Agrologistics provides consulting and 4th Party Logistics services focused on agribusiness, logistics, transportation and supply chain management. The company supports industrial, commercial and farming clients with logistics organization, cost optimization, warehousing design and agribusiness supply chain projects. Services include agricultural product development, tender and interim management, green logistics, benchmarking and new logistics technologies. Agrologistics also offers sales, marketing and branding services for agricultural products and promotes hydroponic technologies. It targets agribusiness companies, farmer groups, retailers, logistics providers and public organizations across Greece and surrounding regions.</t>
  </si>
  <si>
    <t>https://www.linkedin.com/company/agrologistics-ltd</t>
  </si>
  <si>
    <t>https://www.agrologistics.eu</t>
  </si>
  <si>
    <t>info@agrologistics.eu</t>
  </si>
  <si>
    <t>+49 0211 1586 9591</t>
  </si>
  <si>
    <t>Agriculture; Consulting; GreenTech; Logistics; Supply Chain Management; Transportation; Warehousing</t>
  </si>
  <si>
    <t>ARO Logistik GmbH</t>
  </si>
  <si>
    <t>aro-logistik-gmbh</t>
  </si>
  <si>
    <t>bacf7376-2080-4b32-9070-341baf3efd60</t>
  </si>
  <si>
    <t>ARO Logistik GmbH provides international air, road, ocean freight and warehousing services for national and cross-border transports.</t>
  </si>
  <si>
    <t>ARO Logistik GmbH provides international logistics services across air, road and ocean freight as well as warehousing. The company organizes national and international transports tailored to shipment requirements. Service areas include air freight for time-critical cargo, road freight for regional and cross-border deliveries, and ocean freight for containerized and bulk shipments. ARO Logistik GmbH also offers warehousing services to store, handle and manage goods within its logistics network. Customers use these services to coordinate end-to-end supply chains and transport flows.</t>
  </si>
  <si>
    <t>https://www.linkedin.com/company/aro-logistik-gmbh</t>
  </si>
  <si>
    <t>https://aro-logistik.com</t>
  </si>
  <si>
    <t>dus@aro-logistik.com</t>
  </si>
  <si>
    <t>+49 211 976488-0</t>
  </si>
  <si>
    <t>Air Transportation; Courier Service; Freight Service; Last Mile Transportation; Logistics; Shipping; Supply Chain Management; Transportation; Warehousing</t>
  </si>
  <si>
    <t>resourcly</t>
  </si>
  <si>
    <t>20dbf6f6-cf6e-45a9-b0b9-962547559ddd</t>
  </si>
  <si>
    <t>Resourcly helps manufacturers improve working capital with their shared inventory OS by leveraging product data and AI.</t>
  </si>
  <si>
    <t>USD 2.5 trillion of manufacturing inventory is tied up in capital worldwide. Resourcly changes that. Resourcly empowers industrial manufacturers to improve working capital and save cost with their shared inventors OS to strategically share, repurpose and prevent idle inventory by leveraging product data and AI.</t>
  </si>
  <si>
    <t>https://www.linkedin.com/company/resourcly/?viewAsMember=true</t>
  </si>
  <si>
    <t>https://www.resourcly.earth</t>
  </si>
  <si>
    <t>Artificial Intelligence (AI); GreenTech; Information Technology; Manufacturing; Sharing Economy; Supply Chain Management</t>
  </si>
  <si>
    <t>Mannheim</t>
  </si>
  <si>
    <t>Loady</t>
  </si>
  <si>
    <t>loady</t>
  </si>
  <si>
    <t>aad04d63-d519-4d2b-98f2-ab8c554cf8ef</t>
  </si>
  <si>
    <t>Global, standard solution for companies and carriers to manage, use and share reliable (un-)loading requirements in logistics.</t>
  </si>
  <si>
    <t>Loady is a standardized, global solution for managing and sharing updated, first-hand loading and unloading requirements between shippers and logistics service providers. With Loady, for the first time in supply chain logistics, all contract-, planning- and delivery-relevant information is available as structured data set. Loady connect directly  to TMS, eCMR, YARD, and other digital logistics solutions in order to optimize the entire B2B transportation process, reduce waiting and process times, and save significant costs: from freight procurement, freight ordering, transportation planning and dispatching, to actual delivery.  A special "goodie" for liquid bulk logistics in chemistry, feed or food supply chains, is the general pre-product database where cleaning instructions and pre-loading restrictions can be managed, shared and checked.  Loady fundamentally improves supply chain collaboration. Loady minimizes truck rejections and increases planning reliability and sustainability in transportation. But above all, by providing a single source of truth for requirements, Loady will, finally, end the current practice of back-and-forth phone calls, data double checks and continuous troubleshooting that all parties involved are suffering from.  Loady closes a fundamental gap in communication, making it a key success factor for further digitization and automation in logistics.</t>
  </si>
  <si>
    <t>https://www.linkedin.com/company/loady</t>
  </si>
  <si>
    <t>https://loady.com</t>
  </si>
  <si>
    <t>stefanie.kraus@loady.com</t>
  </si>
  <si>
    <t>Logistics; SaaS</t>
  </si>
  <si>
    <t>Friebe Luftfahrt-Bedarf</t>
  </si>
  <si>
    <t>friebe-luftfahrt-bedarf</t>
  </si>
  <si>
    <t>c0e26c48-ffdf-4670-bd44-f68550575537</t>
  </si>
  <si>
    <t>Friebe Luftfahrt-Bedarf is a supplier of aviation accessories.</t>
  </si>
  <si>
    <t>https://www.linkedin.com/company/friebe-luftfahrt-bedarf-gmbh</t>
  </si>
  <si>
    <t>https://friebe.aero/</t>
  </si>
  <si>
    <t>info@friebe.aero</t>
  </si>
  <si>
    <t>49-621700-189 0</t>
  </si>
  <si>
    <t>Hans-Georg Friebe</t>
  </si>
  <si>
    <t>Aerospace; Retail; Supply Chain Management</t>
  </si>
  <si>
    <t>SI Trading</t>
  </si>
  <si>
    <t>si-trading</t>
  </si>
  <si>
    <t>7803d899-a819-4ac0-8fd4-d749087906ae</t>
  </si>
  <si>
    <t>SI Trading is a transportation company that specializes in logistics and supply chain services.</t>
  </si>
  <si>
    <t>https://www.linkedin.com/company/si-trading-germany</t>
  </si>
  <si>
    <t>https://www.si-trading.de</t>
  </si>
  <si>
    <t>office@si-trading.de</t>
  </si>
  <si>
    <t>+49 621 405406 0</t>
  </si>
  <si>
    <t>SI Electronics</t>
  </si>
  <si>
    <t>si-electronics</t>
  </si>
  <si>
    <t>dbf3e49c-8079-435d-afed-df5faecd97ef</t>
  </si>
  <si>
    <t>SI Electronics GmbH focuses on electronic component procurement, logistics, and testing for a resilient supply chain.</t>
  </si>
  <si>
    <t>SI Electronics GmbH specializes in the procurement, logistics, and testing of electronic components. The company aims to develop a resilient supply chain, adapting to changing market conditions. It provides services that ensure efficient sourcing and management of electronic parts, catering to various industries. The focus is on creating a robust supply chain that can withstand disruptions, offering clients a strategic advantage in a dynamic environment.</t>
  </si>
  <si>
    <t>https://www.linkedin.com/company/si-electronics/</t>
  </si>
  <si>
    <t>https://si-electronics.com</t>
  </si>
  <si>
    <t>office@si-electronics.com</t>
  </si>
  <si>
    <t>Electronics; Logistics; Supply Chain Management; Test and Measurement</t>
  </si>
  <si>
    <t>medical_science; sales</t>
  </si>
  <si>
    <t>CargoBeamer</t>
  </si>
  <si>
    <t>cargobeamer</t>
  </si>
  <si>
    <t>26b2d7e4-c2df-4af9-b17f-2eed13462cfe</t>
  </si>
  <si>
    <t>CargoBeamer is a transport system that enables non-craneable semi-trailers to use rail and reduces carbon emissions at scale.</t>
  </si>
  <si>
    <t>The CargoBeamer Group is a logistics service provider in the ‚Äúcombined transportation road-rail segment‚Äù based in Leipzig, Germany. Thanks to the company's technology of railcars, handling terminals and logistics software nearly all standard semi-trailers of all types can use the train ‚Äì without additional conversions and reinforcements for the trailer and even without a driver and tractor unit. CargoBeamer trains currently run on five different routes including locations in Germany, France, Italy, Poland and the UK. In the medium-term CargoBeamer will realize a European route-network of high-performing and innovative transhipment facilities at important transport hubs. This will secure sustainable rail-transport for hundreds of thousands of semi-trailers per year ‚Äì reducing CO2-emissions and relieving environment and society.</t>
  </si>
  <si>
    <t>https://www.linkedin.com/company/cargobeamer-ag/</t>
  </si>
  <si>
    <t>http://www.cargobeamer.com</t>
  </si>
  <si>
    <t>info@cargobeamer.com</t>
  </si>
  <si>
    <t>49-341-65233900</t>
  </si>
  <si>
    <t>Hans-J√ºrgen Weidemann</t>
  </si>
  <si>
    <t>Logistics; Railroad; Supply Chain Management; Transportation</t>
  </si>
  <si>
    <t>Leipzig</t>
  </si>
  <si>
    <t>engineering; finance; information_technology; management; marketing; operations; product; sales</t>
  </si>
  <si>
    <t>eccenca</t>
  </si>
  <si>
    <t>f53407ab-3cbf-4769-a1c1-69637ec98f3c</t>
  </si>
  <si>
    <t>Eccenca is a leading provider of smart and cognitive process automation technology</t>
  </si>
  <si>
    <t>Smart and cognitive process automation helps organizations cope with lack of efficacy and efficiency or even more frequently sheer availability of sufficient amounts of human operators in white-collar jobs. Current technologies like process-mining help to uncover efficiency and efficacy gaps. Technologies like robotic process automation patch up local data or systems integration issues to alleviate the pain. But no current solutions provides a true solution for capturing and digitally scaling human experience, competencies and knowledge that is so instrumental to making processes work. Eccenca has developed its solution ‚Äúcorporate memory‚Äù to do just that, capture, digitize and use knowledge, experience and data in a scalable way that has never been seen before. Our solution has proven its efficacy to augment and fully automate white-collar work across multiple domains resulting in license subscriptions from clients across industries such as Automotive, Pharma, Telco, Manufacturing, Electronics, Chemical/Process-Industries and (cyber/national) defence.</t>
  </si>
  <si>
    <t>https://www.linkedin.com/company/eccenca-gmbh/</t>
  </si>
  <si>
    <t>https://www.eccenca.com/</t>
  </si>
  <si>
    <t>info@eccenca.com</t>
  </si>
  <si>
    <t xml:space="preserve">+49 (341) 26 50 80 28 </t>
  </si>
  <si>
    <t>Hans-Christian Brockmann; S√∂ren Auer</t>
  </si>
  <si>
    <t>Cyber Security; Data Center Automation; Industrial Automation; Knowledge Management; National Security; Supply Chain Management</t>
  </si>
  <si>
    <t>engineering; information_technology; management; operations; sales</t>
  </si>
  <si>
    <t>HeiterBlick</t>
  </si>
  <si>
    <t>heiterblick</t>
  </si>
  <si>
    <t>fee41756-844a-4d0b-b3b0-740270b8d3f1</t>
  </si>
  <si>
    <t>HeiterBlick is a railroad equipment manufacturing firm that offers custom trams and specializes in innovative design and combines functions.</t>
  </si>
  <si>
    <t>https://linkedin.com/company/heiterblick-gmbh</t>
  </si>
  <si>
    <t>https://www.heiterblick.de</t>
  </si>
  <si>
    <t>samuel.kermelk@heiterblick.de</t>
  </si>
  <si>
    <t>+49- 0341 / 355 211 10</t>
  </si>
  <si>
    <t>Manufacturing; Railroad; Supply Chain Management</t>
  </si>
  <si>
    <t>Stocadro</t>
  </si>
  <si>
    <t>stocadro</t>
  </si>
  <si>
    <t>ac5a4b63-e02b-4849-9c4f-191fcf38f103</t>
  </si>
  <si>
    <t>Digital warehousing for the construction industry</t>
  </si>
  <si>
    <t>https://www.stocadro.de</t>
  </si>
  <si>
    <t>Solid Officetechnik Service</t>
  </si>
  <si>
    <t>solid-officetechnik-service</t>
  </si>
  <si>
    <t>d5e75453-8b2a-4fd8-90d2-7e8b6d6d97ff</t>
  </si>
  <si>
    <t>Solid Officetechnik Service is a retailer of office supplies.</t>
  </si>
  <si>
    <t>Solid Officetechnik Service delivers the majority of their goods electrically in the city area. The company is thus contributing to reducing greenhouse gas emissions. Their service is reliable on a daily basis for authorities, schools, and small to mid-sized businesses throughout the region. They  supply their customers reliably and comprehensively from several large warehouses.</t>
  </si>
  <si>
    <t>https://www.linkedin.com/company/solid-officetechnik-service-gmbh</t>
  </si>
  <si>
    <t>https://www.sos-buerotechnik.de</t>
  </si>
  <si>
    <t>‚Äãsos@sos-buerotechnik.de</t>
  </si>
  <si>
    <t>+49 0341 22 57 570</t>
  </si>
  <si>
    <t>Delivery Service; Furniture; Office Supplies; Shopping; Supply Chain Management</t>
  </si>
  <si>
    <t>Allround Handels</t>
  </si>
  <si>
    <t>allround-handels</t>
  </si>
  <si>
    <t>36d65916-da2f-4324-9c5c-22e2b1a737bc</t>
  </si>
  <si>
    <t>Allround Handels is a logistic company that offers warehousing, supply chain management, transportation, and packaging services.</t>
  </si>
  <si>
    <t>https://www.linkedin.com/company/allround-handels-gmbh</t>
  </si>
  <si>
    <t>https://allround-handels.de</t>
  </si>
  <si>
    <t>info@allround-handels.de</t>
  </si>
  <si>
    <t>+49 9119-944-6970</t>
  </si>
  <si>
    <t>Logistics; Packaging Services; Transportation; Warehousing</t>
  </si>
  <si>
    <t>Nuremberg</t>
  </si>
  <si>
    <t>Doktor Cargo</t>
  </si>
  <si>
    <t>doktor-cargo</t>
  </si>
  <si>
    <t>127e3abd-f44a-421b-aa90-48844fac2a1f</t>
  </si>
  <si>
    <t>Doktor Cargo specializes in logistics, transportation, warehousing, supply chain management, and storage services.</t>
  </si>
  <si>
    <t>https://www.linkedin.com/company/doktor-cargo/</t>
  </si>
  <si>
    <t>https://doktor-cargo.com/</t>
  </si>
  <si>
    <t>info@doktor-cargo.com</t>
  </si>
  <si>
    <t>+49 911 59830 80</t>
  </si>
  <si>
    <t>Kaweco</t>
  </si>
  <si>
    <t>kaweco</t>
  </si>
  <si>
    <t>243e25c1-efb7-423c-b9e5-8d147e024146</t>
  </si>
  <si>
    <t>1883-01-01</t>
  </si>
  <si>
    <t>Kaweco is a distributing company that supplies writing implements such as fountain pens, pencils, digital paper, and accessories.</t>
  </si>
  <si>
    <t>https://www.linkedin.com/company/kaweco</t>
  </si>
  <si>
    <t>https://www.kaweco-pen.com/</t>
  </si>
  <si>
    <t>info@kaweco-pen.com</t>
  </si>
  <si>
    <t>+49 91-181-8660</t>
  </si>
  <si>
    <t>Heinrich Koch; Rudolph Weber</t>
  </si>
  <si>
    <t>E-Commerce; Manufacturing; Supply Chain Management</t>
  </si>
  <si>
    <t>information_technology; management; product</t>
  </si>
  <si>
    <t>CNA</t>
  </si>
  <si>
    <t>cna-eaac</t>
  </si>
  <si>
    <t>f6ee6b66-56d2-4184-a79c-35f5464ceaac</t>
  </si>
  <si>
    <t>CNA is a logistics company that provides railway mobility systems, traffic control, storage, and transportation for the automotive industry.</t>
  </si>
  <si>
    <t>https://www.linkedin.com/company/c-na/</t>
  </si>
  <si>
    <t>https://www.c-na.de/</t>
  </si>
  <si>
    <t>hello@c-na.de</t>
  </si>
  <si>
    <t>+49 9114-809-4815</t>
  </si>
  <si>
    <t>Vauen</t>
  </si>
  <si>
    <t>vauen</t>
  </si>
  <si>
    <t>8421f2bf-06b8-4148-a338-baad2eb0aad5</t>
  </si>
  <si>
    <t>1848-01-01</t>
  </si>
  <si>
    <t>Vauen is a manufacturing company that specializes in producing and supplying tobacco, pipes, filters, and accessories products.</t>
  </si>
  <si>
    <t>https://www.linkedin.com/company/vauen-vereinigte-pfeifenfabriken-n%C3%BCrnberg-gmbh</t>
  </si>
  <si>
    <t>https://www.vauen.de/vauen.html</t>
  </si>
  <si>
    <t>info@vauen.de</t>
  </si>
  <si>
    <t>Carl August Ziener; Karl Ellenberger</t>
  </si>
  <si>
    <t>Manufacturing; Supply Chain Management; Wood Processing</t>
  </si>
  <si>
    <t>Franken-Gemuse</t>
  </si>
  <si>
    <t>franken-gemuse</t>
  </si>
  <si>
    <t>4865d9fb-2906-421a-abd5-2e50cafa7664</t>
  </si>
  <si>
    <t>Franken-Gemuse is a fruit and vegetable store that supplies freshly harvested salads and seasonal vegetables to wholesalers and retailers.</t>
  </si>
  <si>
    <t>https://www.linkedin.com/company/franken-gem√ºse</t>
  </si>
  <si>
    <t>https://www.franken-gemuese.de</t>
  </si>
  <si>
    <t>‚Äã‚Äãinfo@franken-gemuese.de</t>
  </si>
  <si>
    <t>+49-0911 93483-0</t>
  </si>
  <si>
    <t>Farming; Fruit; Supply Chain Management</t>
  </si>
  <si>
    <t>MotionMiners</t>
  </si>
  <si>
    <t>motionminers</t>
  </si>
  <si>
    <t>2083984c-01b1-4674-aa34-cf010e42ae79</t>
  </si>
  <si>
    <t>MotionMiners is a technology for the analysis of manual work processes.</t>
  </si>
  <si>
    <t>MotionMiners is a technology that enables automated process analysis of manual work processes using mobile sensors, radio transmitters, and machine learning algorithms. Their customers' inquiries are addressed through phone, email, and online applications.</t>
  </si>
  <si>
    <t>https://www.linkedin.com/company/motionminers-gmbh/</t>
  </si>
  <si>
    <t>https://www.motionminers.com</t>
  </si>
  <si>
    <t>contact@motionminers.com</t>
  </si>
  <si>
    <t>49-231-5869-0554</t>
  </si>
  <si>
    <t>Sascha Kaczmarek</t>
  </si>
  <si>
    <t>Analytics; Internet of Things; Logistics; Service Industry; Software; Supply Chain Management</t>
  </si>
  <si>
    <t>Dortmund</t>
  </si>
  <si>
    <t>Remira</t>
  </si>
  <si>
    <t>remira</t>
  </si>
  <si>
    <t>ac0efdd9-88bb-4afd-a25b-463bd17d063f</t>
  </si>
  <si>
    <t>Remira specializes in IT solutions such as software development and modules for the supply chain management.</t>
  </si>
  <si>
    <t>https://www.linkedin.com/company/remira-gmbh/?originalSubdomain=ke</t>
  </si>
  <si>
    <t>http://www.remira.de</t>
  </si>
  <si>
    <t>mate@remira.de</t>
  </si>
  <si>
    <t>49 231 99782 0</t>
  </si>
  <si>
    <t>finance; human_resources; information_technology; management; marketing; operations; product; sales</t>
  </si>
  <si>
    <t>BAB TECHNOLOGY</t>
  </si>
  <si>
    <t>bab-technology</t>
  </si>
  <si>
    <t>1fbdbbd5-2a91-405a-9273-bd096dae434c</t>
  </si>
  <si>
    <t>BAB TECHNOLOGY is a manufacturer of smart home solutions and KNX products.</t>
  </si>
  <si>
    <t>BAB Technology is a building automation company that makes innovative KNX products and smart home solutions. They've been developing and manufacturing cutting-edge visualization and automation solutions for intelligent buildings for over a decade. A group of international software developers and engineers recognizes the challenges of modern building automation and creates products and smart home systems that address them.</t>
  </si>
  <si>
    <t>https://www.linkedin.com/company/bab-technologie-gmbh/</t>
  </si>
  <si>
    <t>https://www.bab-technologie.com</t>
  </si>
  <si>
    <t>info@bab-tec.de</t>
  </si>
  <si>
    <t>+49 231 476 425-30</t>
  </si>
  <si>
    <t>Consumer Electronics; Home Improvement; Manufacturing; Smart Building; Supply Chain Management</t>
  </si>
  <si>
    <t>SDZ</t>
  </si>
  <si>
    <t>sdz</t>
  </si>
  <si>
    <t>c62112b2-23c3-4258-aeef-5f7e2593532e</t>
  </si>
  <si>
    <t>SDZ renders simulation technology, supply chain structure, logistics planning, IT-supported planning and scheduling solutions.</t>
  </si>
  <si>
    <t>https://www.linkedin.com/company/sdz-gmbh/</t>
  </si>
  <si>
    <t>http://www.sdz.de</t>
  </si>
  <si>
    <t>info@sdz.de</t>
  </si>
  <si>
    <t>49-231-9750500</t>
  </si>
  <si>
    <t>Professor J√ºnemann; Professor Noche</t>
  </si>
  <si>
    <t>Logistics; Simulation; Software; Supply Chain Management</t>
  </si>
  <si>
    <t>Dental 2000</t>
  </si>
  <si>
    <t>dental-2000</t>
  </si>
  <si>
    <t>968adc1a-919d-4292-9c53-8a03f8d8bdcb</t>
  </si>
  <si>
    <t>Dental 2000 is a distributing company that supplies medical equipment for implanting and dental technology.</t>
  </si>
  <si>
    <t>https://www.linkedin.com/company/dental-2000-gmbh</t>
  </si>
  <si>
    <t>https://dl-dental-2000.de/</t>
  </si>
  <si>
    <t>info@dl-dental-2000.de</t>
  </si>
  <si>
    <t>+49 231496-3811</t>
  </si>
  <si>
    <t>Manufacturing; Medical Device; Supply Chain Management</t>
  </si>
  <si>
    <t>Bitergo</t>
  </si>
  <si>
    <t>bitergo</t>
  </si>
  <si>
    <t>28662faa-599f-4e41-bb3c-d20168c8efd8</t>
  </si>
  <si>
    <t>Bitergo provides logistics software solutions and consulting services.</t>
  </si>
  <si>
    <t>Bitergo offers logistics software solutions and consulting services. The focus is on two subject areas, warehousing and supply chain management. The company offers a collection of business apps to help optimize warehouse management.</t>
  </si>
  <si>
    <t>https://www.linkedin.com/company/bitergo-gmbh/</t>
  </si>
  <si>
    <t>https://bitergo.de</t>
  </si>
  <si>
    <t>mail@bitergo.de</t>
  </si>
  <si>
    <t>+49 231 878 008 0</t>
  </si>
  <si>
    <t>Consulting; IT Infrastructure; Software</t>
  </si>
  <si>
    <t>UNCO Consulting</t>
  </si>
  <si>
    <t>unco-consulting</t>
  </si>
  <si>
    <t>4e874cee-cba7-4a20-a09c-2df96ff1ae99</t>
  </si>
  <si>
    <t>UNCO Consulting is a consulting firm specializing in sourcing and procurement, supply chain management, and business development.</t>
  </si>
  <si>
    <t>UNCO Consulting is a consulting firm specializing in sourcing and procurement, supply chain management, and business development. We assist clients in optimizing their supply chains, enhancing procurement strategies, and identifying growth opportunities. Our services include supplier evaluation, contract negotiation, logistics optimization, and market entry strategies, tailored to meet the unique needs of each client.</t>
  </si>
  <si>
    <t>https://unco-consulting.com/</t>
  </si>
  <si>
    <t>contact@unco-consulting.com</t>
  </si>
  <si>
    <t>Adhoc Zollagentur Gmbh</t>
  </si>
  <si>
    <t>adhoc-zollagentur-gmbh</t>
  </si>
  <si>
    <t>a3a6ce29-73ee-4b1a-a657-0fbd909e806d</t>
  </si>
  <si>
    <t>adhoc Zollagentur GmbH provides customs brokerage, import/export clearance, and consulting for businesses and private customers.</t>
  </si>
  <si>
    <t>adhoc Zollagentur GmbH provides customs brokerage and clearance services for international imports and exports. The company handles electronic customs declarations for goods, including industrial equipment, vehicles, and clothing, for business clients and private individuals. Services cover import and export processing, additional customs documents, origin certificates, Carnet ATA documents, and advisory support on customs regulations, sanctions, and trade restrictions. The team supports third-country trade by preparing paperwork and managing communication with customs authorities.</t>
  </si>
  <si>
    <t>https://www.linkedin.com/company/adhoc-zollagentur-gmbh</t>
  </si>
  <si>
    <t>https://www.adhoc-zollagentur.de</t>
  </si>
  <si>
    <t>info@adhoc-zollagentur.de</t>
  </si>
  <si>
    <t>+49 231 99768410</t>
  </si>
  <si>
    <t>Business Process Automation (BPA); Consulting; Customer Service; Freight Service; Legal; Logistics; Supply Chain Management; Transportation</t>
  </si>
  <si>
    <t>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</si>
</sst>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588BA-C906-234E-9757-C5B2BD4CF0FB}">
  <dimension ref="A1:AC504"/>
  <sheetViews>
    <sheetView tabSelected="1" topLeftCell="P1" workbookViewId="0">
      <selection activeCell="AC2" sqref="AC2"/>
    </sheetView>
  </sheetViews>
  <sheetFormatPr baseColWidth="10" defaultRowHeight="16" x14ac:dyDescent="0.2"/>
  <cols>
    <col min="1" max="1" width="25.6640625" customWidth="1"/>
    <col min="2" max="2" width="20.5" customWidth="1"/>
    <col min="3" max="3" width="39.6640625" customWidth="1"/>
    <col min="7" max="7" width="17.6640625" customWidth="1"/>
    <col min="11" max="11" width="63" customWidth="1"/>
    <col min="14" max="14" width="26.83203125" customWidth="1"/>
    <col min="15" max="15" width="31.33203125" customWidth="1"/>
    <col min="17" max="17" width="31.83203125" customWidth="1"/>
  </cols>
  <sheetData>
    <row r="1" spans="1:2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4833</v>
      </c>
    </row>
    <row r="2" spans="1:29" x14ac:dyDescent="0.2">
      <c r="A2" t="s">
        <v>28</v>
      </c>
      <c r="B2" t="s">
        <v>29</v>
      </c>
      <c r="C2" t="s">
        <v>30</v>
      </c>
      <c r="D2" t="s">
        <v>31</v>
      </c>
      <c r="F2" t="s">
        <v>32</v>
      </c>
      <c r="G2" s="1">
        <v>45444</v>
      </c>
      <c r="H2" t="s">
        <v>33</v>
      </c>
      <c r="I2" t="s">
        <v>34</v>
      </c>
      <c r="J2" t="s">
        <v>35</v>
      </c>
      <c r="K2" t="s">
        <v>36</v>
      </c>
      <c r="N2" t="s">
        <v>37</v>
      </c>
      <c r="O2" t="s">
        <v>38</v>
      </c>
      <c r="P2">
        <v>491635870757</v>
      </c>
      <c r="Q2" t="s">
        <v>39</v>
      </c>
      <c r="S2" s="1">
        <v>46082</v>
      </c>
      <c r="X2">
        <v>5818</v>
      </c>
      <c r="Y2" t="s">
        <v>40</v>
      </c>
      <c r="Z2" t="s">
        <v>41</v>
      </c>
      <c r="AA2" t="s">
        <v>42</v>
      </c>
    </row>
    <row r="3" spans="1:29" x14ac:dyDescent="0.2">
      <c r="A3" t="s">
        <v>43</v>
      </c>
      <c r="B3" t="s">
        <v>43</v>
      </c>
      <c r="C3" t="s">
        <v>44</v>
      </c>
      <c r="D3" t="s">
        <v>31</v>
      </c>
      <c r="F3" t="s">
        <v>32</v>
      </c>
      <c r="G3" s="1">
        <v>44439</v>
      </c>
      <c r="H3" t="s">
        <v>33</v>
      </c>
      <c r="I3" t="s">
        <v>45</v>
      </c>
      <c r="J3" t="s">
        <v>46</v>
      </c>
      <c r="K3" t="s">
        <v>47</v>
      </c>
      <c r="N3" t="s">
        <v>48</v>
      </c>
      <c r="O3" t="s">
        <v>49</v>
      </c>
      <c r="Q3" t="s">
        <v>50</v>
      </c>
      <c r="S3" s="1">
        <v>45554</v>
      </c>
      <c r="X3">
        <v>45509</v>
      </c>
      <c r="Y3" t="s">
        <v>51</v>
      </c>
      <c r="Z3" t="s">
        <v>41</v>
      </c>
      <c r="AA3" t="s">
        <v>42</v>
      </c>
      <c r="AB3" t="s">
        <v>52</v>
      </c>
    </row>
    <row r="4" spans="1:29" x14ac:dyDescent="0.2">
      <c r="A4" t="s">
        <v>53</v>
      </c>
      <c r="B4" t="s">
        <v>54</v>
      </c>
      <c r="C4" t="s">
        <v>55</v>
      </c>
      <c r="D4" t="s">
        <v>31</v>
      </c>
      <c r="F4" t="s">
        <v>32</v>
      </c>
      <c r="G4" s="1">
        <v>43922</v>
      </c>
      <c r="H4" t="s">
        <v>33</v>
      </c>
      <c r="I4" t="s">
        <v>56</v>
      </c>
      <c r="J4" t="s">
        <v>57</v>
      </c>
      <c r="K4" t="s">
        <v>58</v>
      </c>
      <c r="L4" t="s">
        <v>59</v>
      </c>
      <c r="M4" t="s">
        <v>59</v>
      </c>
      <c r="N4" t="s">
        <v>60</v>
      </c>
      <c r="O4" t="s">
        <v>61</v>
      </c>
      <c r="Q4" t="s">
        <v>62</v>
      </c>
      <c r="S4" s="1">
        <v>44543</v>
      </c>
      <c r="X4">
        <v>79660</v>
      </c>
      <c r="Y4" t="s">
        <v>63</v>
      </c>
      <c r="Z4" t="s">
        <v>41</v>
      </c>
      <c r="AA4" t="s">
        <v>42</v>
      </c>
    </row>
    <row r="5" spans="1:29" x14ac:dyDescent="0.2">
      <c r="A5" t="s">
        <v>64</v>
      </c>
      <c r="B5" t="s">
        <v>65</v>
      </c>
      <c r="C5" t="s">
        <v>66</v>
      </c>
      <c r="D5" t="s">
        <v>31</v>
      </c>
      <c r="F5" t="s">
        <v>32</v>
      </c>
      <c r="G5" s="1">
        <v>44566</v>
      </c>
      <c r="H5" t="s">
        <v>67</v>
      </c>
      <c r="I5" t="s">
        <v>68</v>
      </c>
      <c r="J5" t="s">
        <v>69</v>
      </c>
      <c r="K5" t="s">
        <v>70</v>
      </c>
      <c r="N5" t="s">
        <v>71</v>
      </c>
      <c r="O5" t="s">
        <v>72</v>
      </c>
      <c r="P5" t="s">
        <v>73</v>
      </c>
      <c r="Q5" t="s">
        <v>74</v>
      </c>
      <c r="S5" s="1">
        <v>45399</v>
      </c>
      <c r="X5">
        <v>88195</v>
      </c>
      <c r="Y5" t="s">
        <v>75</v>
      </c>
      <c r="Z5" t="s">
        <v>41</v>
      </c>
      <c r="AA5" t="s">
        <v>42</v>
      </c>
    </row>
    <row r="6" spans="1:29" x14ac:dyDescent="0.2">
      <c r="A6" t="s">
        <v>76</v>
      </c>
      <c r="B6" t="s">
        <v>77</v>
      </c>
      <c r="C6" t="s">
        <v>78</v>
      </c>
      <c r="D6" t="s">
        <v>31</v>
      </c>
      <c r="F6" t="s">
        <v>32</v>
      </c>
      <c r="G6" s="1">
        <v>43586</v>
      </c>
      <c r="H6" t="s">
        <v>33</v>
      </c>
      <c r="I6" t="s">
        <v>79</v>
      </c>
      <c r="J6" t="s">
        <v>80</v>
      </c>
      <c r="K6" t="s">
        <v>81</v>
      </c>
      <c r="L6" t="s">
        <v>59</v>
      </c>
      <c r="M6" t="s">
        <v>59</v>
      </c>
      <c r="N6" t="s">
        <v>82</v>
      </c>
      <c r="O6" t="s">
        <v>83</v>
      </c>
      <c r="P6" t="s">
        <v>84</v>
      </c>
      <c r="Q6" t="s">
        <v>85</v>
      </c>
      <c r="S6" s="1">
        <v>43952</v>
      </c>
      <c r="X6">
        <v>130281</v>
      </c>
      <c r="Y6" t="s">
        <v>86</v>
      </c>
      <c r="Z6" t="s">
        <v>41</v>
      </c>
      <c r="AA6" t="s">
        <v>42</v>
      </c>
      <c r="AB6" t="s">
        <v>87</v>
      </c>
    </row>
    <row r="7" spans="1:29" x14ac:dyDescent="0.2">
      <c r="A7" t="s">
        <v>88</v>
      </c>
      <c r="B7" t="s">
        <v>89</v>
      </c>
      <c r="C7" t="s">
        <v>90</v>
      </c>
      <c r="D7" t="s">
        <v>31</v>
      </c>
      <c r="F7" t="s">
        <v>32</v>
      </c>
      <c r="G7" s="1">
        <v>43101</v>
      </c>
      <c r="H7" t="s">
        <v>91</v>
      </c>
      <c r="I7" t="s">
        <v>92</v>
      </c>
      <c r="J7" t="s">
        <v>93</v>
      </c>
      <c r="K7" t="s">
        <v>94</v>
      </c>
      <c r="N7" t="s">
        <v>95</v>
      </c>
      <c r="O7" t="s">
        <v>96</v>
      </c>
      <c r="P7" t="s">
        <v>97</v>
      </c>
      <c r="Q7" t="s">
        <v>98</v>
      </c>
      <c r="X7">
        <v>187706</v>
      </c>
      <c r="Y7" t="s">
        <v>99</v>
      </c>
      <c r="Z7" t="s">
        <v>41</v>
      </c>
      <c r="AA7" t="s">
        <v>42</v>
      </c>
      <c r="AB7" t="s">
        <v>100</v>
      </c>
    </row>
    <row r="8" spans="1:29" x14ac:dyDescent="0.2">
      <c r="A8" t="s">
        <v>101</v>
      </c>
      <c r="B8" t="s">
        <v>102</v>
      </c>
      <c r="C8" t="s">
        <v>103</v>
      </c>
      <c r="D8" t="s">
        <v>31</v>
      </c>
      <c r="F8" t="s">
        <v>32</v>
      </c>
      <c r="G8" s="1">
        <v>30317</v>
      </c>
      <c r="H8" t="s">
        <v>91</v>
      </c>
      <c r="I8" t="s">
        <v>104</v>
      </c>
      <c r="J8" t="s">
        <v>105</v>
      </c>
      <c r="K8" t="s">
        <v>106</v>
      </c>
      <c r="N8" t="s">
        <v>107</v>
      </c>
      <c r="O8" t="s">
        <v>108</v>
      </c>
      <c r="P8" t="s">
        <v>109</v>
      </c>
      <c r="X8">
        <v>370920</v>
      </c>
      <c r="Y8" t="s">
        <v>110</v>
      </c>
      <c r="Z8" t="s">
        <v>41</v>
      </c>
      <c r="AA8" t="s">
        <v>42</v>
      </c>
    </row>
    <row r="9" spans="1:29" x14ac:dyDescent="0.2">
      <c r="A9" t="s">
        <v>111</v>
      </c>
      <c r="B9" t="s">
        <v>112</v>
      </c>
      <c r="C9" t="s">
        <v>113</v>
      </c>
      <c r="D9" t="s">
        <v>31</v>
      </c>
      <c r="F9" t="s">
        <v>32</v>
      </c>
      <c r="G9" s="1">
        <v>43831</v>
      </c>
      <c r="H9" t="s">
        <v>33</v>
      </c>
      <c r="I9" t="s">
        <v>114</v>
      </c>
      <c r="J9" t="s">
        <v>115</v>
      </c>
      <c r="K9" t="s">
        <v>116</v>
      </c>
      <c r="N9" t="s">
        <v>117</v>
      </c>
      <c r="O9" t="s">
        <v>118</v>
      </c>
      <c r="P9" t="s">
        <v>119</v>
      </c>
      <c r="Q9" t="s">
        <v>120</v>
      </c>
      <c r="S9" s="1">
        <v>44657</v>
      </c>
      <c r="X9">
        <v>373122</v>
      </c>
      <c r="Y9" t="s">
        <v>121</v>
      </c>
      <c r="Z9" t="s">
        <v>41</v>
      </c>
      <c r="AA9" t="s">
        <v>42</v>
      </c>
    </row>
    <row r="10" spans="1:29" x14ac:dyDescent="0.2">
      <c r="A10" t="s">
        <v>122</v>
      </c>
      <c r="B10" t="s">
        <v>122</v>
      </c>
      <c r="C10" t="s">
        <v>123</v>
      </c>
      <c r="D10" t="s">
        <v>31</v>
      </c>
      <c r="F10" t="s">
        <v>32</v>
      </c>
      <c r="G10" s="1">
        <v>41275</v>
      </c>
      <c r="H10" t="s">
        <v>33</v>
      </c>
      <c r="I10" t="s">
        <v>124</v>
      </c>
      <c r="J10" t="s">
        <v>125</v>
      </c>
      <c r="K10" t="s">
        <v>126</v>
      </c>
      <c r="N10" t="s">
        <v>127</v>
      </c>
      <c r="P10" t="s">
        <v>128</v>
      </c>
      <c r="Q10" t="s">
        <v>129</v>
      </c>
      <c r="S10" s="1">
        <v>41640</v>
      </c>
      <c r="X10">
        <v>407540</v>
      </c>
      <c r="Y10" t="s">
        <v>130</v>
      </c>
      <c r="Z10" t="s">
        <v>41</v>
      </c>
      <c r="AA10" t="s">
        <v>42</v>
      </c>
      <c r="AB10" t="s">
        <v>131</v>
      </c>
    </row>
    <row r="11" spans="1:29" x14ac:dyDescent="0.2">
      <c r="A11" t="s">
        <v>132</v>
      </c>
      <c r="B11" t="s">
        <v>133</v>
      </c>
      <c r="C11" t="s">
        <v>134</v>
      </c>
      <c r="D11" t="s">
        <v>135</v>
      </c>
      <c r="F11" t="s">
        <v>32</v>
      </c>
      <c r="G11" s="1">
        <v>42767</v>
      </c>
      <c r="H11" t="s">
        <v>67</v>
      </c>
      <c r="I11" t="s">
        <v>136</v>
      </c>
      <c r="J11" t="s">
        <v>136</v>
      </c>
      <c r="M11" t="s">
        <v>59</v>
      </c>
      <c r="N11" t="s">
        <v>137</v>
      </c>
      <c r="O11" t="s">
        <v>138</v>
      </c>
      <c r="P11" t="s">
        <v>139</v>
      </c>
      <c r="Q11" t="s">
        <v>140</v>
      </c>
      <c r="S11" s="1">
        <v>43101</v>
      </c>
      <c r="X11">
        <v>408934</v>
      </c>
      <c r="Y11" t="s">
        <v>141</v>
      </c>
      <c r="Z11" t="s">
        <v>41</v>
      </c>
      <c r="AA11" t="s">
        <v>42</v>
      </c>
    </row>
    <row r="12" spans="1:29" x14ac:dyDescent="0.2">
      <c r="A12" t="s">
        <v>142</v>
      </c>
      <c r="B12" t="s">
        <v>143</v>
      </c>
      <c r="C12" t="s">
        <v>144</v>
      </c>
      <c r="D12" t="s">
        <v>31</v>
      </c>
      <c r="F12" t="s">
        <v>32</v>
      </c>
      <c r="G12" s="1">
        <v>44197</v>
      </c>
      <c r="H12" t="s">
        <v>33</v>
      </c>
      <c r="I12" t="s">
        <v>145</v>
      </c>
      <c r="J12" t="s">
        <v>145</v>
      </c>
      <c r="K12" t="s">
        <v>146</v>
      </c>
      <c r="N12" t="s">
        <v>147</v>
      </c>
      <c r="O12" t="s">
        <v>148</v>
      </c>
      <c r="P12" t="s">
        <v>149</v>
      </c>
      <c r="X12">
        <v>431336</v>
      </c>
      <c r="Y12" t="s">
        <v>150</v>
      </c>
      <c r="Z12" t="s">
        <v>41</v>
      </c>
      <c r="AA12" t="s">
        <v>42</v>
      </c>
    </row>
    <row r="13" spans="1:29" x14ac:dyDescent="0.2">
      <c r="A13" t="s">
        <v>151</v>
      </c>
      <c r="B13" t="s">
        <v>151</v>
      </c>
      <c r="C13" t="s">
        <v>152</v>
      </c>
      <c r="D13" t="s">
        <v>31</v>
      </c>
      <c r="F13" t="s">
        <v>32</v>
      </c>
      <c r="G13" s="1">
        <v>44562</v>
      </c>
      <c r="H13" t="s">
        <v>33</v>
      </c>
      <c r="I13" t="s">
        <v>153</v>
      </c>
      <c r="J13" t="s">
        <v>154</v>
      </c>
      <c r="K13" t="s">
        <v>155</v>
      </c>
      <c r="N13" t="s">
        <v>156</v>
      </c>
      <c r="O13" t="s">
        <v>157</v>
      </c>
      <c r="Q13" t="s">
        <v>158</v>
      </c>
      <c r="X13">
        <v>539869</v>
      </c>
      <c r="Y13" t="s">
        <v>159</v>
      </c>
      <c r="Z13" t="s">
        <v>41</v>
      </c>
      <c r="AA13" t="s">
        <v>42</v>
      </c>
      <c r="AB13" t="s">
        <v>160</v>
      </c>
    </row>
    <row r="14" spans="1:29" x14ac:dyDescent="0.2">
      <c r="A14" t="s">
        <v>161</v>
      </c>
      <c r="B14" t="s">
        <v>162</v>
      </c>
      <c r="C14" t="s">
        <v>163</v>
      </c>
      <c r="D14" t="s">
        <v>31</v>
      </c>
      <c r="F14" t="s">
        <v>32</v>
      </c>
      <c r="G14" s="1">
        <v>44197</v>
      </c>
      <c r="H14" t="s">
        <v>67</v>
      </c>
      <c r="I14" t="s">
        <v>164</v>
      </c>
      <c r="J14" t="s">
        <v>165</v>
      </c>
      <c r="K14" t="s">
        <v>166</v>
      </c>
      <c r="N14" t="s">
        <v>167</v>
      </c>
      <c r="O14" t="s">
        <v>168</v>
      </c>
      <c r="Q14" t="s">
        <v>169</v>
      </c>
      <c r="S14" s="1">
        <v>44435</v>
      </c>
      <c r="X14">
        <v>552368</v>
      </c>
      <c r="Y14" t="s">
        <v>170</v>
      </c>
      <c r="Z14" t="s">
        <v>41</v>
      </c>
      <c r="AA14" t="s">
        <v>42</v>
      </c>
    </row>
    <row r="15" spans="1:29" x14ac:dyDescent="0.2">
      <c r="A15" t="s">
        <v>171</v>
      </c>
      <c r="B15" t="s">
        <v>172</v>
      </c>
      <c r="C15" t="s">
        <v>173</v>
      </c>
      <c r="D15" t="s">
        <v>31</v>
      </c>
      <c r="F15" t="s">
        <v>32</v>
      </c>
      <c r="G15" s="1">
        <v>44562</v>
      </c>
      <c r="H15" t="s">
        <v>33</v>
      </c>
      <c r="I15" t="s">
        <v>174</v>
      </c>
      <c r="J15" t="s">
        <v>175</v>
      </c>
      <c r="K15" t="s">
        <v>176</v>
      </c>
      <c r="N15" t="s">
        <v>177</v>
      </c>
      <c r="O15" t="s">
        <v>178</v>
      </c>
      <c r="Q15" t="s">
        <v>179</v>
      </c>
      <c r="X15">
        <v>578108</v>
      </c>
      <c r="Y15" t="s">
        <v>180</v>
      </c>
      <c r="Z15" t="s">
        <v>41</v>
      </c>
      <c r="AA15" t="s">
        <v>42</v>
      </c>
      <c r="AB15" t="s">
        <v>181</v>
      </c>
    </row>
    <row r="16" spans="1:29" x14ac:dyDescent="0.2">
      <c r="A16" t="s">
        <v>182</v>
      </c>
      <c r="B16" t="s">
        <v>183</v>
      </c>
      <c r="C16" t="s">
        <v>184</v>
      </c>
      <c r="D16" t="s">
        <v>31</v>
      </c>
      <c r="F16" t="s">
        <v>32</v>
      </c>
      <c r="G16" s="1">
        <v>40470</v>
      </c>
      <c r="H16" t="s">
        <v>33</v>
      </c>
      <c r="I16" t="s">
        <v>185</v>
      </c>
      <c r="J16" t="s">
        <v>186</v>
      </c>
      <c r="K16" t="s">
        <v>187</v>
      </c>
      <c r="N16" t="s">
        <v>188</v>
      </c>
      <c r="O16" t="s">
        <v>189</v>
      </c>
      <c r="P16" t="s">
        <v>190</v>
      </c>
      <c r="Q16" t="s">
        <v>191</v>
      </c>
      <c r="X16">
        <v>656830</v>
      </c>
      <c r="Y16" t="s">
        <v>99</v>
      </c>
      <c r="Z16" t="s">
        <v>41</v>
      </c>
      <c r="AA16" t="s">
        <v>42</v>
      </c>
      <c r="AB16" t="s">
        <v>192</v>
      </c>
    </row>
    <row r="17" spans="1:28" x14ac:dyDescent="0.2">
      <c r="A17" t="s">
        <v>193</v>
      </c>
      <c r="B17" t="s">
        <v>194</v>
      </c>
      <c r="C17" t="s">
        <v>195</v>
      </c>
      <c r="D17" t="s">
        <v>31</v>
      </c>
      <c r="F17" t="s">
        <v>32</v>
      </c>
      <c r="G17" s="1">
        <v>40909</v>
      </c>
      <c r="H17" t="s">
        <v>33</v>
      </c>
      <c r="I17" t="s">
        <v>196</v>
      </c>
      <c r="J17" t="s">
        <v>197</v>
      </c>
      <c r="K17" t="s">
        <v>198</v>
      </c>
      <c r="L17" t="s">
        <v>59</v>
      </c>
      <c r="M17" t="s">
        <v>59</v>
      </c>
      <c r="N17" t="s">
        <v>199</v>
      </c>
      <c r="O17" t="s">
        <v>200</v>
      </c>
      <c r="P17">
        <v>494028468320</v>
      </c>
      <c r="Q17" t="s">
        <v>201</v>
      </c>
      <c r="S17" s="1">
        <v>41275</v>
      </c>
      <c r="X17">
        <v>658424</v>
      </c>
      <c r="Y17" t="s">
        <v>150</v>
      </c>
      <c r="Z17" t="s">
        <v>41</v>
      </c>
      <c r="AA17" t="s">
        <v>42</v>
      </c>
      <c r="AB17" t="s">
        <v>202</v>
      </c>
    </row>
    <row r="18" spans="1:28" x14ac:dyDescent="0.2">
      <c r="A18" t="s">
        <v>203</v>
      </c>
      <c r="B18" t="s">
        <v>204</v>
      </c>
      <c r="C18" t="s">
        <v>205</v>
      </c>
      <c r="D18" t="s">
        <v>31</v>
      </c>
      <c r="F18" t="s">
        <v>32</v>
      </c>
      <c r="G18" s="1">
        <v>31048</v>
      </c>
      <c r="H18" t="s">
        <v>91</v>
      </c>
      <c r="I18" t="s">
        <v>206</v>
      </c>
      <c r="J18" t="s">
        <v>206</v>
      </c>
      <c r="K18" t="s">
        <v>207</v>
      </c>
      <c r="N18" t="s">
        <v>208</v>
      </c>
      <c r="O18" t="s">
        <v>209</v>
      </c>
      <c r="P18">
        <f>49-403-37-240</f>
        <v>-631</v>
      </c>
      <c r="X18">
        <v>722940</v>
      </c>
      <c r="Y18" t="s">
        <v>210</v>
      </c>
      <c r="Z18" t="s">
        <v>41</v>
      </c>
      <c r="AA18" t="s">
        <v>42</v>
      </c>
      <c r="AB18" t="s">
        <v>211</v>
      </c>
    </row>
    <row r="19" spans="1:28" x14ac:dyDescent="0.2">
      <c r="A19" t="s">
        <v>212</v>
      </c>
      <c r="B19" t="s">
        <v>213</v>
      </c>
      <c r="C19" t="s">
        <v>214</v>
      </c>
      <c r="D19" t="s">
        <v>31</v>
      </c>
      <c r="F19" t="s">
        <v>32</v>
      </c>
      <c r="G19" s="1">
        <v>36161</v>
      </c>
      <c r="H19" t="s">
        <v>33</v>
      </c>
      <c r="I19" t="s">
        <v>215</v>
      </c>
      <c r="J19" t="s">
        <v>215</v>
      </c>
      <c r="K19" t="s">
        <v>216</v>
      </c>
      <c r="L19" t="s">
        <v>59</v>
      </c>
      <c r="N19" t="s">
        <v>217</v>
      </c>
      <c r="O19" t="s">
        <v>218</v>
      </c>
      <c r="P19" t="s">
        <v>219</v>
      </c>
      <c r="X19">
        <v>733519</v>
      </c>
      <c r="Y19" t="s">
        <v>220</v>
      </c>
      <c r="Z19" t="s">
        <v>41</v>
      </c>
      <c r="AA19" t="s">
        <v>42</v>
      </c>
      <c r="AB19" t="s">
        <v>221</v>
      </c>
    </row>
    <row r="20" spans="1:28" x14ac:dyDescent="0.2">
      <c r="A20" t="s">
        <v>222</v>
      </c>
      <c r="B20" t="s">
        <v>223</v>
      </c>
      <c r="C20" t="s">
        <v>224</v>
      </c>
      <c r="D20" t="s">
        <v>31</v>
      </c>
      <c r="F20" t="s">
        <v>32</v>
      </c>
      <c r="G20" s="1">
        <v>42005</v>
      </c>
      <c r="H20" t="s">
        <v>33</v>
      </c>
      <c r="I20" t="s">
        <v>225</v>
      </c>
      <c r="J20" t="s">
        <v>226</v>
      </c>
      <c r="K20" t="s">
        <v>227</v>
      </c>
      <c r="L20" t="s">
        <v>59</v>
      </c>
      <c r="M20" t="s">
        <v>59</v>
      </c>
      <c r="N20" t="s">
        <v>228</v>
      </c>
      <c r="O20" t="s">
        <v>229</v>
      </c>
      <c r="P20" t="s">
        <v>230</v>
      </c>
      <c r="X20">
        <v>810754</v>
      </c>
      <c r="Y20" t="s">
        <v>231</v>
      </c>
      <c r="Z20" t="s">
        <v>41</v>
      </c>
      <c r="AA20" t="s">
        <v>42</v>
      </c>
    </row>
    <row r="21" spans="1:28" x14ac:dyDescent="0.2">
      <c r="A21" t="s">
        <v>232</v>
      </c>
      <c r="B21" t="s">
        <v>233</v>
      </c>
      <c r="C21" t="s">
        <v>234</v>
      </c>
      <c r="D21" t="s">
        <v>31</v>
      </c>
      <c r="F21" t="s">
        <v>32</v>
      </c>
      <c r="G21" s="1">
        <v>39083</v>
      </c>
      <c r="H21" t="s">
        <v>91</v>
      </c>
      <c r="I21" t="s">
        <v>235</v>
      </c>
      <c r="J21" t="s">
        <v>235</v>
      </c>
      <c r="K21" t="s">
        <v>236</v>
      </c>
      <c r="N21" t="s">
        <v>237</v>
      </c>
      <c r="O21" t="s">
        <v>238</v>
      </c>
      <c r="P21" t="s">
        <v>239</v>
      </c>
      <c r="X21">
        <v>814896</v>
      </c>
      <c r="Y21" t="s">
        <v>240</v>
      </c>
      <c r="Z21" t="s">
        <v>41</v>
      </c>
      <c r="AA21" t="s">
        <v>42</v>
      </c>
      <c r="AB21" t="s">
        <v>241</v>
      </c>
    </row>
    <row r="22" spans="1:28" x14ac:dyDescent="0.2">
      <c r="A22" t="s">
        <v>242</v>
      </c>
      <c r="B22" t="s">
        <v>243</v>
      </c>
      <c r="C22" t="s">
        <v>244</v>
      </c>
      <c r="D22" t="s">
        <v>31</v>
      </c>
      <c r="F22" t="s">
        <v>32</v>
      </c>
      <c r="G22" s="1">
        <v>7672</v>
      </c>
      <c r="H22" t="s">
        <v>33</v>
      </c>
      <c r="I22" t="s">
        <v>245</v>
      </c>
      <c r="J22" t="s">
        <v>245</v>
      </c>
      <c r="K22" t="s">
        <v>246</v>
      </c>
      <c r="N22" t="s">
        <v>247</v>
      </c>
      <c r="O22" t="s">
        <v>248</v>
      </c>
      <c r="P22" t="s">
        <v>249</v>
      </c>
      <c r="X22">
        <v>982922</v>
      </c>
      <c r="Y22" t="s">
        <v>250</v>
      </c>
      <c r="Z22" t="s">
        <v>41</v>
      </c>
      <c r="AA22" t="s">
        <v>42</v>
      </c>
    </row>
    <row r="23" spans="1:28" x14ac:dyDescent="0.2">
      <c r="A23" t="s">
        <v>251</v>
      </c>
      <c r="B23" t="s">
        <v>252</v>
      </c>
      <c r="C23" t="s">
        <v>253</v>
      </c>
      <c r="D23" t="s">
        <v>31</v>
      </c>
      <c r="F23" t="s">
        <v>32</v>
      </c>
      <c r="G23" s="1">
        <v>39814</v>
      </c>
      <c r="H23" t="s">
        <v>33</v>
      </c>
      <c r="I23" t="s">
        <v>254</v>
      </c>
      <c r="J23" t="s">
        <v>254</v>
      </c>
      <c r="K23" t="s">
        <v>255</v>
      </c>
      <c r="L23" t="s">
        <v>59</v>
      </c>
      <c r="M23" t="s">
        <v>59</v>
      </c>
      <c r="N23" t="s">
        <v>256</v>
      </c>
      <c r="O23" t="s">
        <v>257</v>
      </c>
      <c r="P23" t="s">
        <v>258</v>
      </c>
      <c r="X23">
        <v>996828</v>
      </c>
      <c r="Y23" t="s">
        <v>259</v>
      </c>
      <c r="Z23" t="s">
        <v>41</v>
      </c>
      <c r="AA23" t="s">
        <v>42</v>
      </c>
      <c r="AB23" t="s">
        <v>221</v>
      </c>
    </row>
    <row r="24" spans="1:28" x14ac:dyDescent="0.2">
      <c r="A24" t="s">
        <v>260</v>
      </c>
      <c r="B24" t="s">
        <v>261</v>
      </c>
      <c r="C24" t="s">
        <v>262</v>
      </c>
      <c r="D24" t="s">
        <v>31</v>
      </c>
      <c r="F24" t="s">
        <v>32</v>
      </c>
      <c r="G24" s="1">
        <v>42005</v>
      </c>
      <c r="H24" t="s">
        <v>33</v>
      </c>
      <c r="I24" t="s">
        <v>263</v>
      </c>
      <c r="J24" t="s">
        <v>263</v>
      </c>
      <c r="K24" t="s">
        <v>264</v>
      </c>
      <c r="L24" t="s">
        <v>59</v>
      </c>
      <c r="M24" t="s">
        <v>59</v>
      </c>
      <c r="N24" t="s">
        <v>265</v>
      </c>
      <c r="O24" t="s">
        <v>266</v>
      </c>
      <c r="P24" t="s">
        <v>267</v>
      </c>
      <c r="X24">
        <v>1024063</v>
      </c>
      <c r="Y24" t="s">
        <v>268</v>
      </c>
      <c r="Z24" t="s">
        <v>41</v>
      </c>
      <c r="AA24" t="s">
        <v>42</v>
      </c>
      <c r="AB24" t="s">
        <v>269</v>
      </c>
    </row>
    <row r="25" spans="1:28" x14ac:dyDescent="0.2">
      <c r="A25" t="s">
        <v>270</v>
      </c>
      <c r="B25" t="s">
        <v>271</v>
      </c>
      <c r="C25" t="s">
        <v>272</v>
      </c>
      <c r="D25" t="s">
        <v>31</v>
      </c>
      <c r="F25" t="s">
        <v>32</v>
      </c>
      <c r="G25" s="1">
        <v>9133</v>
      </c>
      <c r="H25" t="s">
        <v>91</v>
      </c>
      <c r="I25" t="s">
        <v>273</v>
      </c>
      <c r="J25" t="s">
        <v>274</v>
      </c>
      <c r="K25" t="s">
        <v>275</v>
      </c>
      <c r="N25" t="s">
        <v>276</v>
      </c>
      <c r="O25" t="s">
        <v>277</v>
      </c>
      <c r="P25" t="s">
        <v>278</v>
      </c>
      <c r="X25">
        <v>1056031</v>
      </c>
      <c r="Y25" t="s">
        <v>279</v>
      </c>
      <c r="Z25" t="s">
        <v>41</v>
      </c>
      <c r="AA25" t="s">
        <v>42</v>
      </c>
      <c r="AB25" t="s">
        <v>280</v>
      </c>
    </row>
    <row r="26" spans="1:28" x14ac:dyDescent="0.2">
      <c r="A26" t="s">
        <v>281</v>
      </c>
      <c r="B26" t="s">
        <v>282</v>
      </c>
      <c r="C26" t="s">
        <v>283</v>
      </c>
      <c r="D26" t="s">
        <v>31</v>
      </c>
      <c r="F26" t="s">
        <v>32</v>
      </c>
      <c r="G26" s="1">
        <v>31048</v>
      </c>
      <c r="H26" t="s">
        <v>33</v>
      </c>
      <c r="I26" t="s">
        <v>284</v>
      </c>
      <c r="J26" t="s">
        <v>285</v>
      </c>
      <c r="K26" t="s">
        <v>286</v>
      </c>
      <c r="N26" t="s">
        <v>287</v>
      </c>
      <c r="O26" t="s">
        <v>288</v>
      </c>
      <c r="P26" t="s">
        <v>289</v>
      </c>
      <c r="X26">
        <v>1088265</v>
      </c>
      <c r="Y26" t="s">
        <v>290</v>
      </c>
      <c r="Z26" t="s">
        <v>41</v>
      </c>
      <c r="AA26" t="s">
        <v>42</v>
      </c>
      <c r="AB26" t="s">
        <v>291</v>
      </c>
    </row>
    <row r="27" spans="1:28" x14ac:dyDescent="0.2">
      <c r="A27" t="s">
        <v>292</v>
      </c>
      <c r="B27" t="s">
        <v>292</v>
      </c>
      <c r="C27" t="s">
        <v>293</v>
      </c>
      <c r="D27" t="s">
        <v>31</v>
      </c>
      <c r="F27" t="s">
        <v>32</v>
      </c>
      <c r="G27" s="1">
        <v>44197</v>
      </c>
      <c r="H27" t="s">
        <v>67</v>
      </c>
      <c r="I27" t="s">
        <v>294</v>
      </c>
      <c r="J27" t="s">
        <v>295</v>
      </c>
      <c r="K27" t="s">
        <v>296</v>
      </c>
      <c r="L27" t="s">
        <v>59</v>
      </c>
      <c r="N27" t="s">
        <v>297</v>
      </c>
      <c r="P27" t="s">
        <v>298</v>
      </c>
      <c r="Q27" t="s">
        <v>299</v>
      </c>
      <c r="X27">
        <v>1170249</v>
      </c>
      <c r="Y27" t="s">
        <v>300</v>
      </c>
      <c r="Z27" t="s">
        <v>41</v>
      </c>
      <c r="AA27" t="s">
        <v>42</v>
      </c>
    </row>
    <row r="28" spans="1:28" x14ac:dyDescent="0.2">
      <c r="A28" t="s">
        <v>301</v>
      </c>
      <c r="B28" t="s">
        <v>302</v>
      </c>
      <c r="C28" t="s">
        <v>303</v>
      </c>
      <c r="D28" t="s">
        <v>31</v>
      </c>
      <c r="F28" t="s">
        <v>32</v>
      </c>
      <c r="H28" t="s">
        <v>33</v>
      </c>
      <c r="I28" t="s">
        <v>304</v>
      </c>
      <c r="J28" t="s">
        <v>304</v>
      </c>
      <c r="K28" t="s">
        <v>305</v>
      </c>
      <c r="N28" t="s">
        <v>306</v>
      </c>
      <c r="O28" t="s">
        <v>307</v>
      </c>
      <c r="P28">
        <f>49-40-1804-7380</f>
        <v>-9175</v>
      </c>
      <c r="X28">
        <v>1210684</v>
      </c>
      <c r="Y28" t="s">
        <v>308</v>
      </c>
      <c r="Z28" t="s">
        <v>41</v>
      </c>
      <c r="AA28" t="s">
        <v>42</v>
      </c>
    </row>
    <row r="29" spans="1:28" x14ac:dyDescent="0.2">
      <c r="A29" t="s">
        <v>309</v>
      </c>
      <c r="B29" t="s">
        <v>310</v>
      </c>
      <c r="C29" t="s">
        <v>311</v>
      </c>
      <c r="D29" t="s">
        <v>31</v>
      </c>
      <c r="F29" t="s">
        <v>32</v>
      </c>
      <c r="G29" s="1">
        <v>44197</v>
      </c>
      <c r="H29" t="s">
        <v>33</v>
      </c>
      <c r="I29" t="s">
        <v>312</v>
      </c>
      <c r="J29" t="s">
        <v>312</v>
      </c>
      <c r="K29" t="s">
        <v>313</v>
      </c>
      <c r="N29" t="s">
        <v>314</v>
      </c>
      <c r="X29">
        <v>1214331</v>
      </c>
      <c r="Z29" t="s">
        <v>41</v>
      </c>
      <c r="AA29" t="s">
        <v>42</v>
      </c>
    </row>
    <row r="30" spans="1:28" x14ac:dyDescent="0.2">
      <c r="A30" t="s">
        <v>315</v>
      </c>
      <c r="B30" t="s">
        <v>316</v>
      </c>
      <c r="C30" t="s">
        <v>317</v>
      </c>
      <c r="D30" t="s">
        <v>31</v>
      </c>
      <c r="F30" t="s">
        <v>32</v>
      </c>
      <c r="G30" s="1">
        <v>36161</v>
      </c>
      <c r="H30" t="s">
        <v>33</v>
      </c>
      <c r="I30" t="s">
        <v>318</v>
      </c>
      <c r="J30" t="s">
        <v>319</v>
      </c>
      <c r="K30" t="s">
        <v>320</v>
      </c>
      <c r="L30" t="s">
        <v>59</v>
      </c>
      <c r="M30" t="s">
        <v>59</v>
      </c>
      <c r="N30" t="s">
        <v>321</v>
      </c>
      <c r="O30" t="s">
        <v>322</v>
      </c>
      <c r="P30" t="s">
        <v>323</v>
      </c>
      <c r="Q30" t="s">
        <v>324</v>
      </c>
      <c r="X30">
        <v>1232537</v>
      </c>
      <c r="Y30" t="s">
        <v>325</v>
      </c>
      <c r="Z30" t="s">
        <v>41</v>
      </c>
      <c r="AA30" t="s">
        <v>42</v>
      </c>
    </row>
    <row r="31" spans="1:28" x14ac:dyDescent="0.2">
      <c r="A31" t="s">
        <v>326</v>
      </c>
      <c r="B31" t="s">
        <v>327</v>
      </c>
      <c r="C31" t="s">
        <v>328</v>
      </c>
      <c r="D31" t="s">
        <v>31</v>
      </c>
      <c r="F31" t="s">
        <v>32</v>
      </c>
      <c r="G31" s="1">
        <v>41640</v>
      </c>
      <c r="H31" t="s">
        <v>33</v>
      </c>
      <c r="I31" t="s">
        <v>329</v>
      </c>
      <c r="J31" t="s">
        <v>330</v>
      </c>
      <c r="K31" t="s">
        <v>331</v>
      </c>
      <c r="L31" t="s">
        <v>59</v>
      </c>
      <c r="N31" t="s">
        <v>332</v>
      </c>
      <c r="O31" t="s">
        <v>333</v>
      </c>
      <c r="P31">
        <v>4940226162860</v>
      </c>
      <c r="X31">
        <v>1235865</v>
      </c>
      <c r="Y31" t="s">
        <v>334</v>
      </c>
      <c r="Z31" t="s">
        <v>41</v>
      </c>
      <c r="AA31" t="s">
        <v>42</v>
      </c>
    </row>
    <row r="32" spans="1:28" x14ac:dyDescent="0.2">
      <c r="A32" t="s">
        <v>335</v>
      </c>
      <c r="B32" t="s">
        <v>335</v>
      </c>
      <c r="C32" t="s">
        <v>336</v>
      </c>
      <c r="D32" t="s">
        <v>31</v>
      </c>
      <c r="F32" t="s">
        <v>32</v>
      </c>
      <c r="G32" s="1">
        <v>44197</v>
      </c>
      <c r="H32" t="s">
        <v>91</v>
      </c>
      <c r="I32" t="s">
        <v>337</v>
      </c>
      <c r="J32" t="s">
        <v>337</v>
      </c>
      <c r="K32" t="s">
        <v>338</v>
      </c>
      <c r="L32" t="s">
        <v>59</v>
      </c>
      <c r="M32" t="s">
        <v>59</v>
      </c>
      <c r="N32" t="s">
        <v>339</v>
      </c>
      <c r="O32" t="s">
        <v>340</v>
      </c>
      <c r="P32" t="s">
        <v>341</v>
      </c>
      <c r="X32">
        <v>1243174</v>
      </c>
      <c r="Y32" t="s">
        <v>342</v>
      </c>
      <c r="Z32" t="s">
        <v>41</v>
      </c>
      <c r="AA32" t="s">
        <v>42</v>
      </c>
      <c r="AB32" t="s">
        <v>343</v>
      </c>
    </row>
    <row r="33" spans="1:28" x14ac:dyDescent="0.2">
      <c r="A33" t="s">
        <v>344</v>
      </c>
      <c r="B33" t="s">
        <v>345</v>
      </c>
      <c r="C33" t="s">
        <v>346</v>
      </c>
      <c r="D33" t="s">
        <v>31</v>
      </c>
      <c r="F33" t="s">
        <v>32</v>
      </c>
      <c r="G33" s="1">
        <v>35431</v>
      </c>
      <c r="H33" t="s">
        <v>33</v>
      </c>
      <c r="I33" t="s">
        <v>347</v>
      </c>
      <c r="J33" t="s">
        <v>347</v>
      </c>
      <c r="K33" t="s">
        <v>348</v>
      </c>
      <c r="N33" t="s">
        <v>349</v>
      </c>
      <c r="O33" t="s">
        <v>350</v>
      </c>
      <c r="P33" t="s">
        <v>351</v>
      </c>
      <c r="X33">
        <v>1259686</v>
      </c>
      <c r="Y33" t="s">
        <v>352</v>
      </c>
      <c r="Z33" t="s">
        <v>41</v>
      </c>
      <c r="AA33" t="s">
        <v>42</v>
      </c>
      <c r="AB33" t="s">
        <v>211</v>
      </c>
    </row>
    <row r="34" spans="1:28" x14ac:dyDescent="0.2">
      <c r="A34" t="s">
        <v>353</v>
      </c>
      <c r="B34" t="s">
        <v>354</v>
      </c>
      <c r="C34" t="s">
        <v>355</v>
      </c>
      <c r="D34" t="s">
        <v>31</v>
      </c>
      <c r="F34" t="s">
        <v>32</v>
      </c>
      <c r="H34" t="s">
        <v>67</v>
      </c>
      <c r="I34" t="s">
        <v>356</v>
      </c>
      <c r="J34" t="s">
        <v>357</v>
      </c>
      <c r="K34" t="s">
        <v>358</v>
      </c>
      <c r="N34" t="s">
        <v>359</v>
      </c>
      <c r="O34" t="s">
        <v>360</v>
      </c>
      <c r="P34" t="s">
        <v>361</v>
      </c>
      <c r="X34">
        <v>1290485</v>
      </c>
      <c r="Y34" t="s">
        <v>362</v>
      </c>
      <c r="Z34" t="s">
        <v>41</v>
      </c>
      <c r="AA34" t="s">
        <v>42</v>
      </c>
    </row>
    <row r="35" spans="1:28" x14ac:dyDescent="0.2">
      <c r="A35" t="s">
        <v>363</v>
      </c>
      <c r="B35" t="s">
        <v>363</v>
      </c>
      <c r="C35" t="s">
        <v>364</v>
      </c>
      <c r="D35" t="s">
        <v>31</v>
      </c>
      <c r="F35" t="s">
        <v>32</v>
      </c>
      <c r="G35" s="1">
        <v>43466</v>
      </c>
      <c r="H35" t="s">
        <v>67</v>
      </c>
      <c r="I35" t="s">
        <v>365</v>
      </c>
      <c r="J35" t="s">
        <v>366</v>
      </c>
      <c r="K35" t="s">
        <v>367</v>
      </c>
      <c r="N35" t="s">
        <v>368</v>
      </c>
      <c r="O35" t="s">
        <v>369</v>
      </c>
      <c r="P35" t="s">
        <v>370</v>
      </c>
      <c r="X35">
        <v>1294414</v>
      </c>
      <c r="Y35" t="s">
        <v>371</v>
      </c>
      <c r="Z35" t="s">
        <v>41</v>
      </c>
      <c r="AA35" t="s">
        <v>42</v>
      </c>
    </row>
    <row r="36" spans="1:28" x14ac:dyDescent="0.2">
      <c r="A36" t="s">
        <v>372</v>
      </c>
      <c r="B36" t="s">
        <v>373</v>
      </c>
      <c r="C36" t="s">
        <v>374</v>
      </c>
      <c r="D36" t="s">
        <v>31</v>
      </c>
      <c r="F36" t="s">
        <v>32</v>
      </c>
      <c r="G36" s="1">
        <v>23012</v>
      </c>
      <c r="H36" t="s">
        <v>33</v>
      </c>
      <c r="I36" t="s">
        <v>375</v>
      </c>
      <c r="J36" t="s">
        <v>375</v>
      </c>
      <c r="K36" t="s">
        <v>376</v>
      </c>
      <c r="N36" t="s">
        <v>377</v>
      </c>
      <c r="O36" t="s">
        <v>378</v>
      </c>
      <c r="P36" t="s">
        <v>379</v>
      </c>
      <c r="X36">
        <v>1314235</v>
      </c>
      <c r="Y36" t="s">
        <v>380</v>
      </c>
      <c r="Z36" t="s">
        <v>41</v>
      </c>
      <c r="AA36" t="s">
        <v>42</v>
      </c>
      <c r="AB36" t="s">
        <v>381</v>
      </c>
    </row>
    <row r="37" spans="1:28" x14ac:dyDescent="0.2">
      <c r="A37" t="s">
        <v>382</v>
      </c>
      <c r="B37" t="s">
        <v>383</v>
      </c>
      <c r="C37" t="s">
        <v>384</v>
      </c>
      <c r="D37" t="s">
        <v>31</v>
      </c>
      <c r="F37" t="s">
        <v>32</v>
      </c>
      <c r="G37" s="1">
        <v>43466</v>
      </c>
      <c r="H37" t="s">
        <v>33</v>
      </c>
      <c r="I37" t="s">
        <v>385</v>
      </c>
      <c r="J37" t="s">
        <v>386</v>
      </c>
      <c r="K37" t="s">
        <v>387</v>
      </c>
      <c r="N37" t="s">
        <v>388</v>
      </c>
      <c r="O37" t="s">
        <v>389</v>
      </c>
      <c r="P37" t="s">
        <v>390</v>
      </c>
      <c r="X37">
        <v>1329018</v>
      </c>
      <c r="Y37" t="s">
        <v>391</v>
      </c>
      <c r="Z37" t="s">
        <v>41</v>
      </c>
      <c r="AA37" t="s">
        <v>42</v>
      </c>
      <c r="AB37" t="s">
        <v>392</v>
      </c>
    </row>
    <row r="38" spans="1:28" x14ac:dyDescent="0.2">
      <c r="A38" t="s">
        <v>393</v>
      </c>
      <c r="B38" t="s">
        <v>394</v>
      </c>
      <c r="C38" t="s">
        <v>395</v>
      </c>
      <c r="D38" t="s">
        <v>31</v>
      </c>
      <c r="F38" t="s">
        <v>32</v>
      </c>
      <c r="G38" s="1">
        <v>43831</v>
      </c>
      <c r="H38" t="s">
        <v>67</v>
      </c>
      <c r="I38" t="s">
        <v>396</v>
      </c>
      <c r="J38" t="s">
        <v>397</v>
      </c>
      <c r="K38" t="s">
        <v>398</v>
      </c>
      <c r="N38" t="s">
        <v>399</v>
      </c>
      <c r="O38" t="s">
        <v>400</v>
      </c>
      <c r="Q38" t="s">
        <v>401</v>
      </c>
      <c r="X38">
        <v>1410469</v>
      </c>
      <c r="Y38" t="s">
        <v>150</v>
      </c>
      <c r="Z38" t="s">
        <v>41</v>
      </c>
      <c r="AA38" t="s">
        <v>42</v>
      </c>
    </row>
    <row r="39" spans="1:28" x14ac:dyDescent="0.2">
      <c r="A39" t="s">
        <v>402</v>
      </c>
      <c r="B39" t="s">
        <v>403</v>
      </c>
      <c r="C39" t="s">
        <v>404</v>
      </c>
      <c r="D39" t="s">
        <v>31</v>
      </c>
      <c r="F39" t="s">
        <v>32</v>
      </c>
      <c r="G39" s="1">
        <v>39448</v>
      </c>
      <c r="H39" t="s">
        <v>91</v>
      </c>
      <c r="I39" t="s">
        <v>405</v>
      </c>
      <c r="J39" t="s">
        <v>406</v>
      </c>
      <c r="K39" t="s">
        <v>407</v>
      </c>
      <c r="N39" t="s">
        <v>408</v>
      </c>
      <c r="O39" t="s">
        <v>409</v>
      </c>
      <c r="P39" t="s">
        <v>410</v>
      </c>
      <c r="X39">
        <v>1422313</v>
      </c>
      <c r="Y39" t="s">
        <v>411</v>
      </c>
      <c r="Z39" t="s">
        <v>41</v>
      </c>
      <c r="AA39" t="s">
        <v>42</v>
      </c>
      <c r="AB39" t="s">
        <v>412</v>
      </c>
    </row>
    <row r="40" spans="1:28" x14ac:dyDescent="0.2">
      <c r="A40" t="s">
        <v>413</v>
      </c>
      <c r="B40" t="s">
        <v>414</v>
      </c>
      <c r="C40" t="s">
        <v>415</v>
      </c>
      <c r="D40" t="s">
        <v>31</v>
      </c>
      <c r="F40" t="s">
        <v>32</v>
      </c>
      <c r="G40" s="1">
        <v>44927</v>
      </c>
      <c r="H40" t="s">
        <v>67</v>
      </c>
      <c r="I40" t="s">
        <v>416</v>
      </c>
      <c r="J40" t="s">
        <v>417</v>
      </c>
      <c r="K40" t="s">
        <v>418</v>
      </c>
      <c r="N40" t="s">
        <v>419</v>
      </c>
      <c r="O40" t="s">
        <v>420</v>
      </c>
      <c r="Q40" t="s">
        <v>421</v>
      </c>
      <c r="X40">
        <v>1456716</v>
      </c>
      <c r="Y40" t="s">
        <v>422</v>
      </c>
      <c r="Z40" t="s">
        <v>41</v>
      </c>
      <c r="AA40" t="s">
        <v>42</v>
      </c>
    </row>
    <row r="41" spans="1:28" x14ac:dyDescent="0.2">
      <c r="A41" t="s">
        <v>423</v>
      </c>
      <c r="B41" t="s">
        <v>424</v>
      </c>
      <c r="C41" t="s">
        <v>425</v>
      </c>
      <c r="D41" t="s">
        <v>31</v>
      </c>
      <c r="F41" t="s">
        <v>32</v>
      </c>
      <c r="G41" s="1">
        <v>38718</v>
      </c>
      <c r="H41" t="s">
        <v>33</v>
      </c>
      <c r="I41" t="s">
        <v>426</v>
      </c>
      <c r="J41" t="s">
        <v>426</v>
      </c>
      <c r="K41" t="s">
        <v>427</v>
      </c>
      <c r="M41" t="s">
        <v>59</v>
      </c>
      <c r="N41" t="s">
        <v>428</v>
      </c>
      <c r="O41" t="s">
        <v>429</v>
      </c>
      <c r="P41" t="s">
        <v>430</v>
      </c>
      <c r="X41">
        <v>1469070</v>
      </c>
      <c r="Y41" t="s">
        <v>431</v>
      </c>
      <c r="Z41" t="s">
        <v>41</v>
      </c>
      <c r="AA41" t="s">
        <v>42</v>
      </c>
      <c r="AB41" t="s">
        <v>221</v>
      </c>
    </row>
    <row r="42" spans="1:28" x14ac:dyDescent="0.2">
      <c r="A42" t="s">
        <v>432</v>
      </c>
      <c r="B42" t="s">
        <v>433</v>
      </c>
      <c r="C42" t="s">
        <v>434</v>
      </c>
      <c r="D42" t="s">
        <v>31</v>
      </c>
      <c r="F42" t="s">
        <v>32</v>
      </c>
      <c r="G42" s="1">
        <v>37257</v>
      </c>
      <c r="H42" t="s">
        <v>33</v>
      </c>
      <c r="I42" t="s">
        <v>435</v>
      </c>
      <c r="J42" t="s">
        <v>435</v>
      </c>
      <c r="K42" t="s">
        <v>436</v>
      </c>
      <c r="M42" t="s">
        <v>59</v>
      </c>
      <c r="N42" t="s">
        <v>437</v>
      </c>
      <c r="O42" t="s">
        <v>438</v>
      </c>
      <c r="P42" t="s">
        <v>439</v>
      </c>
      <c r="X42">
        <v>1534525</v>
      </c>
      <c r="Y42" t="s">
        <v>440</v>
      </c>
      <c r="Z42" t="s">
        <v>41</v>
      </c>
      <c r="AA42" t="s">
        <v>42</v>
      </c>
    </row>
    <row r="43" spans="1:28" x14ac:dyDescent="0.2">
      <c r="A43" t="s">
        <v>441</v>
      </c>
      <c r="B43" t="s">
        <v>442</v>
      </c>
      <c r="C43" t="s">
        <v>443</v>
      </c>
      <c r="D43" t="s">
        <v>31</v>
      </c>
      <c r="F43" t="s">
        <v>32</v>
      </c>
      <c r="H43" t="s">
        <v>67</v>
      </c>
      <c r="I43" t="s">
        <v>444</v>
      </c>
      <c r="J43" t="s">
        <v>445</v>
      </c>
      <c r="K43" t="s">
        <v>446</v>
      </c>
      <c r="N43" t="s">
        <v>447</v>
      </c>
      <c r="P43" t="s">
        <v>448</v>
      </c>
      <c r="X43">
        <v>1545430</v>
      </c>
      <c r="Y43" t="s">
        <v>449</v>
      </c>
      <c r="Z43" t="s">
        <v>41</v>
      </c>
      <c r="AA43" t="s">
        <v>42</v>
      </c>
    </row>
    <row r="44" spans="1:28" x14ac:dyDescent="0.2">
      <c r="A44" t="s">
        <v>450</v>
      </c>
      <c r="B44" t="s">
        <v>451</v>
      </c>
      <c r="C44" t="s">
        <v>452</v>
      </c>
      <c r="D44" t="s">
        <v>31</v>
      </c>
      <c r="F44" t="s">
        <v>32</v>
      </c>
      <c r="G44" s="1">
        <v>36161</v>
      </c>
      <c r="H44" t="s">
        <v>91</v>
      </c>
      <c r="I44" t="s">
        <v>453</v>
      </c>
      <c r="J44" t="s">
        <v>453</v>
      </c>
      <c r="N44" t="s">
        <v>454</v>
      </c>
      <c r="O44" t="s">
        <v>455</v>
      </c>
      <c r="P44" t="s">
        <v>456</v>
      </c>
      <c r="X44">
        <v>1570323</v>
      </c>
      <c r="Y44" t="s">
        <v>250</v>
      </c>
      <c r="Z44" t="s">
        <v>41</v>
      </c>
      <c r="AA44" t="s">
        <v>42</v>
      </c>
    </row>
    <row r="45" spans="1:28" x14ac:dyDescent="0.2">
      <c r="A45" t="s">
        <v>457</v>
      </c>
      <c r="B45" t="s">
        <v>458</v>
      </c>
      <c r="C45" t="s">
        <v>459</v>
      </c>
      <c r="D45" t="s">
        <v>31</v>
      </c>
      <c r="F45" t="s">
        <v>32</v>
      </c>
      <c r="G45" s="1">
        <v>30682</v>
      </c>
      <c r="H45" t="s">
        <v>33</v>
      </c>
      <c r="I45" t="s">
        <v>460</v>
      </c>
      <c r="J45" t="s">
        <v>461</v>
      </c>
      <c r="K45" t="s">
        <v>462</v>
      </c>
      <c r="N45" t="s">
        <v>463</v>
      </c>
      <c r="O45" t="s">
        <v>464</v>
      </c>
      <c r="P45" t="s">
        <v>465</v>
      </c>
      <c r="Q45" t="s">
        <v>466</v>
      </c>
      <c r="X45">
        <v>1585214</v>
      </c>
      <c r="Y45" t="s">
        <v>467</v>
      </c>
      <c r="Z45" t="s">
        <v>41</v>
      </c>
      <c r="AA45" t="s">
        <v>42</v>
      </c>
    </row>
    <row r="46" spans="1:28" x14ac:dyDescent="0.2">
      <c r="A46" t="s">
        <v>468</v>
      </c>
      <c r="B46" t="s">
        <v>469</v>
      </c>
      <c r="C46" t="s">
        <v>470</v>
      </c>
      <c r="D46" t="s">
        <v>31</v>
      </c>
      <c r="F46" t="s">
        <v>32</v>
      </c>
      <c r="G46" s="1">
        <v>44197</v>
      </c>
      <c r="H46" t="s">
        <v>67</v>
      </c>
      <c r="I46" t="s">
        <v>471</v>
      </c>
      <c r="J46" t="s">
        <v>472</v>
      </c>
      <c r="K46" t="s">
        <v>473</v>
      </c>
      <c r="N46" t="s">
        <v>474</v>
      </c>
      <c r="O46" t="s">
        <v>475</v>
      </c>
      <c r="P46" t="s">
        <v>476</v>
      </c>
      <c r="Q46" t="s">
        <v>477</v>
      </c>
      <c r="X46">
        <v>1771227</v>
      </c>
      <c r="Y46" t="s">
        <v>478</v>
      </c>
      <c r="Z46" t="s">
        <v>41</v>
      </c>
      <c r="AA46" t="s">
        <v>42</v>
      </c>
    </row>
    <row r="47" spans="1:28" x14ac:dyDescent="0.2">
      <c r="A47" t="s">
        <v>479</v>
      </c>
      <c r="B47" t="s">
        <v>480</v>
      </c>
      <c r="C47" t="s">
        <v>481</v>
      </c>
      <c r="D47" t="s">
        <v>31</v>
      </c>
      <c r="F47" t="s">
        <v>32</v>
      </c>
      <c r="G47" s="1">
        <v>35796</v>
      </c>
      <c r="H47" t="s">
        <v>91</v>
      </c>
      <c r="I47" t="s">
        <v>482</v>
      </c>
      <c r="J47" t="s">
        <v>482</v>
      </c>
      <c r="K47" t="s">
        <v>483</v>
      </c>
      <c r="N47" t="s">
        <v>484</v>
      </c>
      <c r="P47" t="s">
        <v>485</v>
      </c>
      <c r="X47">
        <v>1838546</v>
      </c>
      <c r="Y47" t="s">
        <v>486</v>
      </c>
      <c r="Z47" t="s">
        <v>41</v>
      </c>
      <c r="AA47" t="s">
        <v>42</v>
      </c>
      <c r="AB47" t="s">
        <v>487</v>
      </c>
    </row>
    <row r="48" spans="1:28" x14ac:dyDescent="0.2">
      <c r="A48" t="s">
        <v>488</v>
      </c>
      <c r="B48" t="s">
        <v>489</v>
      </c>
      <c r="C48" t="s">
        <v>490</v>
      </c>
      <c r="D48" t="s">
        <v>31</v>
      </c>
      <c r="F48" t="s">
        <v>32</v>
      </c>
      <c r="G48" s="1">
        <v>37987</v>
      </c>
      <c r="H48" t="s">
        <v>33</v>
      </c>
      <c r="I48" t="s">
        <v>491</v>
      </c>
      <c r="J48" t="s">
        <v>492</v>
      </c>
      <c r="K48" t="s">
        <v>493</v>
      </c>
      <c r="L48" t="s">
        <v>59</v>
      </c>
      <c r="M48" t="s">
        <v>59</v>
      </c>
      <c r="N48" t="s">
        <v>494</v>
      </c>
      <c r="O48" t="s">
        <v>495</v>
      </c>
      <c r="P48" t="s">
        <v>496</v>
      </c>
      <c r="X48">
        <v>1863871</v>
      </c>
      <c r="Y48" t="s">
        <v>497</v>
      </c>
      <c r="Z48" t="s">
        <v>41</v>
      </c>
      <c r="AA48" t="s">
        <v>42</v>
      </c>
      <c r="AB48" t="s">
        <v>221</v>
      </c>
    </row>
    <row r="49" spans="1:28" x14ac:dyDescent="0.2">
      <c r="A49" t="s">
        <v>498</v>
      </c>
      <c r="B49" t="s">
        <v>499</v>
      </c>
      <c r="C49" t="s">
        <v>500</v>
      </c>
      <c r="D49" t="s">
        <v>31</v>
      </c>
      <c r="F49" t="s">
        <v>32</v>
      </c>
      <c r="G49" s="1">
        <v>40909</v>
      </c>
      <c r="H49" t="s">
        <v>33</v>
      </c>
      <c r="I49" t="s">
        <v>501</v>
      </c>
      <c r="J49" t="s">
        <v>501</v>
      </c>
      <c r="K49" t="s">
        <v>502</v>
      </c>
      <c r="N49" t="s">
        <v>503</v>
      </c>
      <c r="O49" t="s">
        <v>504</v>
      </c>
      <c r="P49" t="s">
        <v>505</v>
      </c>
      <c r="X49">
        <v>1879025</v>
      </c>
      <c r="Y49" t="s">
        <v>506</v>
      </c>
      <c r="Z49" t="s">
        <v>41</v>
      </c>
      <c r="AA49" t="s">
        <v>42</v>
      </c>
    </row>
    <row r="50" spans="1:28" x14ac:dyDescent="0.2">
      <c r="A50" t="s">
        <v>507</v>
      </c>
      <c r="B50" t="s">
        <v>508</v>
      </c>
      <c r="C50" t="s">
        <v>509</v>
      </c>
      <c r="D50" t="s">
        <v>31</v>
      </c>
      <c r="F50" t="s">
        <v>32</v>
      </c>
      <c r="G50" s="1">
        <v>42370</v>
      </c>
      <c r="H50" t="s">
        <v>33</v>
      </c>
      <c r="I50" t="s">
        <v>510</v>
      </c>
      <c r="J50" t="s">
        <v>510</v>
      </c>
      <c r="K50" t="s">
        <v>511</v>
      </c>
      <c r="N50" t="s">
        <v>512</v>
      </c>
      <c r="O50" t="s">
        <v>513</v>
      </c>
      <c r="P50" t="s">
        <v>514</v>
      </c>
      <c r="X50">
        <v>1913128</v>
      </c>
      <c r="Y50" t="s">
        <v>515</v>
      </c>
      <c r="Z50" t="s">
        <v>41</v>
      </c>
      <c r="AA50" t="s">
        <v>42</v>
      </c>
      <c r="AB50" t="s">
        <v>221</v>
      </c>
    </row>
    <row r="51" spans="1:28" x14ac:dyDescent="0.2">
      <c r="A51" t="s">
        <v>516</v>
      </c>
      <c r="B51" t="s">
        <v>517</v>
      </c>
      <c r="C51" t="s">
        <v>518</v>
      </c>
      <c r="D51" t="s">
        <v>31</v>
      </c>
      <c r="F51" t="s">
        <v>32</v>
      </c>
      <c r="G51" s="1">
        <v>40909</v>
      </c>
      <c r="H51" t="s">
        <v>33</v>
      </c>
      <c r="I51" t="s">
        <v>519</v>
      </c>
      <c r="J51" t="s">
        <v>519</v>
      </c>
      <c r="K51" t="s">
        <v>520</v>
      </c>
      <c r="N51" t="s">
        <v>521</v>
      </c>
      <c r="O51" t="s">
        <v>522</v>
      </c>
      <c r="P51" t="s">
        <v>523</v>
      </c>
      <c r="X51">
        <v>1935521</v>
      </c>
      <c r="Y51" t="s">
        <v>524</v>
      </c>
      <c r="Z51" t="s">
        <v>41</v>
      </c>
      <c r="AA51" t="s">
        <v>42</v>
      </c>
    </row>
    <row r="52" spans="1:28" x14ac:dyDescent="0.2">
      <c r="A52" t="s">
        <v>525</v>
      </c>
      <c r="B52" t="s">
        <v>526</v>
      </c>
      <c r="C52" t="s">
        <v>527</v>
      </c>
      <c r="D52" t="s">
        <v>31</v>
      </c>
      <c r="F52" t="s">
        <v>32</v>
      </c>
      <c r="G52" s="1">
        <v>42736</v>
      </c>
      <c r="H52" t="s">
        <v>33</v>
      </c>
      <c r="I52" t="s">
        <v>528</v>
      </c>
      <c r="J52" t="s">
        <v>529</v>
      </c>
      <c r="K52" t="s">
        <v>530</v>
      </c>
      <c r="M52" t="s">
        <v>59</v>
      </c>
      <c r="N52" t="s">
        <v>531</v>
      </c>
      <c r="O52" t="s">
        <v>532</v>
      </c>
      <c r="X52">
        <v>2034499</v>
      </c>
      <c r="Y52" t="s">
        <v>334</v>
      </c>
      <c r="Z52" t="s">
        <v>41</v>
      </c>
      <c r="AA52" t="s">
        <v>42</v>
      </c>
    </row>
    <row r="53" spans="1:28" x14ac:dyDescent="0.2">
      <c r="A53" t="s">
        <v>533</v>
      </c>
      <c r="B53" t="s">
        <v>534</v>
      </c>
      <c r="C53" t="s">
        <v>535</v>
      </c>
      <c r="D53" t="s">
        <v>31</v>
      </c>
      <c r="F53" t="s">
        <v>32</v>
      </c>
      <c r="G53" s="1">
        <v>43466</v>
      </c>
      <c r="H53" t="s">
        <v>33</v>
      </c>
      <c r="I53" t="s">
        <v>536</v>
      </c>
      <c r="J53" t="s">
        <v>537</v>
      </c>
      <c r="K53" t="s">
        <v>538</v>
      </c>
      <c r="L53" t="s">
        <v>59</v>
      </c>
      <c r="M53" t="s">
        <v>59</v>
      </c>
      <c r="N53" t="s">
        <v>539</v>
      </c>
      <c r="O53" t="s">
        <v>540</v>
      </c>
      <c r="P53" t="s">
        <v>541</v>
      </c>
      <c r="X53">
        <v>2067727</v>
      </c>
      <c r="Y53" t="s">
        <v>542</v>
      </c>
      <c r="Z53" t="s">
        <v>41</v>
      </c>
      <c r="AA53" t="s">
        <v>42</v>
      </c>
      <c r="AB53" t="s">
        <v>543</v>
      </c>
    </row>
    <row r="54" spans="1:28" x14ac:dyDescent="0.2">
      <c r="A54" t="s">
        <v>544</v>
      </c>
      <c r="B54" t="s">
        <v>545</v>
      </c>
      <c r="C54" t="s">
        <v>546</v>
      </c>
      <c r="D54" t="s">
        <v>31</v>
      </c>
      <c r="F54" t="s">
        <v>32</v>
      </c>
      <c r="G54" s="1">
        <v>34335</v>
      </c>
      <c r="H54" t="s">
        <v>33</v>
      </c>
      <c r="I54" t="s">
        <v>547</v>
      </c>
      <c r="J54" t="s">
        <v>547</v>
      </c>
      <c r="K54" t="s">
        <v>548</v>
      </c>
      <c r="N54" t="s">
        <v>549</v>
      </c>
      <c r="O54" t="s">
        <v>550</v>
      </c>
      <c r="P54" t="s">
        <v>551</v>
      </c>
      <c r="X54">
        <v>2089077</v>
      </c>
      <c r="Y54" t="s">
        <v>552</v>
      </c>
      <c r="Z54" t="s">
        <v>41</v>
      </c>
      <c r="AA54" t="s">
        <v>42</v>
      </c>
      <c r="AB54" t="s">
        <v>160</v>
      </c>
    </row>
    <row r="55" spans="1:28" x14ac:dyDescent="0.2">
      <c r="A55" t="s">
        <v>553</v>
      </c>
      <c r="B55" t="s">
        <v>554</v>
      </c>
      <c r="C55" t="s">
        <v>555</v>
      </c>
      <c r="D55" t="s">
        <v>31</v>
      </c>
      <c r="F55" t="s">
        <v>32</v>
      </c>
      <c r="G55" s="1">
        <v>17533</v>
      </c>
      <c r="H55" t="s">
        <v>33</v>
      </c>
      <c r="I55" t="s">
        <v>556</v>
      </c>
      <c r="J55" t="s">
        <v>557</v>
      </c>
      <c r="K55" t="s">
        <v>558</v>
      </c>
      <c r="M55" t="s">
        <v>59</v>
      </c>
      <c r="N55" t="s">
        <v>559</v>
      </c>
      <c r="O55" t="s">
        <v>560</v>
      </c>
      <c r="P55" t="s">
        <v>561</v>
      </c>
      <c r="X55">
        <v>2122329</v>
      </c>
      <c r="Y55" t="s">
        <v>250</v>
      </c>
      <c r="Z55" t="s">
        <v>41</v>
      </c>
      <c r="AA55" t="s">
        <v>42</v>
      </c>
      <c r="AB55" t="s">
        <v>160</v>
      </c>
    </row>
    <row r="56" spans="1:28" x14ac:dyDescent="0.2">
      <c r="A56" t="s">
        <v>562</v>
      </c>
      <c r="B56" t="s">
        <v>563</v>
      </c>
      <c r="C56" t="s">
        <v>564</v>
      </c>
      <c r="D56" t="s">
        <v>31</v>
      </c>
      <c r="F56" t="s">
        <v>32</v>
      </c>
      <c r="G56" s="1">
        <v>41275</v>
      </c>
      <c r="H56" t="s">
        <v>67</v>
      </c>
      <c r="I56" t="s">
        <v>565</v>
      </c>
      <c r="J56" t="s">
        <v>565</v>
      </c>
      <c r="K56" t="s">
        <v>566</v>
      </c>
      <c r="N56" t="s">
        <v>567</v>
      </c>
      <c r="O56" t="s">
        <v>568</v>
      </c>
      <c r="P56" t="s">
        <v>569</v>
      </c>
      <c r="X56">
        <v>2260100</v>
      </c>
      <c r="Y56" t="s">
        <v>570</v>
      </c>
      <c r="Z56" t="s">
        <v>41</v>
      </c>
      <c r="AA56" t="s">
        <v>42</v>
      </c>
    </row>
    <row r="57" spans="1:28" x14ac:dyDescent="0.2">
      <c r="A57" t="s">
        <v>571</v>
      </c>
      <c r="B57" t="s">
        <v>572</v>
      </c>
      <c r="C57" t="s">
        <v>573</v>
      </c>
      <c r="D57" t="s">
        <v>31</v>
      </c>
      <c r="F57" t="s">
        <v>32</v>
      </c>
      <c r="G57" s="1">
        <v>25204</v>
      </c>
      <c r="H57" t="s">
        <v>91</v>
      </c>
      <c r="I57" t="s">
        <v>574</v>
      </c>
      <c r="J57" t="s">
        <v>574</v>
      </c>
      <c r="K57" t="s">
        <v>575</v>
      </c>
      <c r="N57" t="s">
        <v>576</v>
      </c>
      <c r="O57" t="s">
        <v>577</v>
      </c>
      <c r="P57">
        <f>49-406-894-560</f>
        <v>-1811</v>
      </c>
      <c r="X57">
        <v>2362623</v>
      </c>
      <c r="Y57" t="s">
        <v>578</v>
      </c>
      <c r="Z57" t="s">
        <v>41</v>
      </c>
      <c r="AA57" t="s">
        <v>42</v>
      </c>
    </row>
    <row r="58" spans="1:28" x14ac:dyDescent="0.2">
      <c r="A58" t="s">
        <v>579</v>
      </c>
      <c r="B58" t="s">
        <v>580</v>
      </c>
      <c r="C58" t="s">
        <v>581</v>
      </c>
      <c r="D58" t="s">
        <v>31</v>
      </c>
      <c r="F58" t="s">
        <v>32</v>
      </c>
      <c r="G58" s="1">
        <v>38718</v>
      </c>
      <c r="H58" t="s">
        <v>91</v>
      </c>
      <c r="I58" t="s">
        <v>582</v>
      </c>
      <c r="J58" t="s">
        <v>582</v>
      </c>
      <c r="K58" t="s">
        <v>583</v>
      </c>
      <c r="N58" t="s">
        <v>584</v>
      </c>
      <c r="O58" t="s">
        <v>585</v>
      </c>
      <c r="P58" t="s">
        <v>586</v>
      </c>
      <c r="X58">
        <v>2386006</v>
      </c>
      <c r="Y58" t="s">
        <v>587</v>
      </c>
      <c r="Z58" t="s">
        <v>41</v>
      </c>
      <c r="AA58" t="s">
        <v>42</v>
      </c>
    </row>
    <row r="59" spans="1:28" x14ac:dyDescent="0.2">
      <c r="A59" t="s">
        <v>588</v>
      </c>
      <c r="B59" t="s">
        <v>589</v>
      </c>
      <c r="C59" t="s">
        <v>590</v>
      </c>
      <c r="D59" t="s">
        <v>31</v>
      </c>
      <c r="F59" t="s">
        <v>32</v>
      </c>
      <c r="G59" s="1">
        <v>29587</v>
      </c>
      <c r="H59" t="s">
        <v>33</v>
      </c>
      <c r="I59" t="s">
        <v>591</v>
      </c>
      <c r="J59" t="s">
        <v>592</v>
      </c>
      <c r="K59" t="s">
        <v>593</v>
      </c>
      <c r="N59" t="s">
        <v>594</v>
      </c>
      <c r="P59" t="s">
        <v>595</v>
      </c>
      <c r="X59">
        <v>2448899</v>
      </c>
      <c r="Y59" t="s">
        <v>150</v>
      </c>
      <c r="Z59" t="s">
        <v>41</v>
      </c>
      <c r="AA59" t="s">
        <v>42</v>
      </c>
    </row>
    <row r="60" spans="1:28" x14ac:dyDescent="0.2">
      <c r="A60" t="s">
        <v>596</v>
      </c>
      <c r="B60" t="s">
        <v>597</v>
      </c>
      <c r="C60" t="s">
        <v>598</v>
      </c>
      <c r="D60" t="s">
        <v>31</v>
      </c>
      <c r="F60" t="s">
        <v>32</v>
      </c>
      <c r="H60" t="s">
        <v>33</v>
      </c>
      <c r="I60" t="s">
        <v>599</v>
      </c>
      <c r="J60" t="s">
        <v>599</v>
      </c>
      <c r="K60" t="s">
        <v>600</v>
      </c>
      <c r="N60" t="s">
        <v>601</v>
      </c>
      <c r="O60" t="s">
        <v>602</v>
      </c>
      <c r="P60" t="s">
        <v>603</v>
      </c>
      <c r="X60">
        <v>2465702</v>
      </c>
      <c r="Y60" t="s">
        <v>604</v>
      </c>
      <c r="Z60" t="s">
        <v>41</v>
      </c>
      <c r="AA60" t="s">
        <v>42</v>
      </c>
      <c r="AB60" t="s">
        <v>192</v>
      </c>
    </row>
    <row r="61" spans="1:28" x14ac:dyDescent="0.2">
      <c r="A61" t="s">
        <v>605</v>
      </c>
      <c r="B61" t="s">
        <v>606</v>
      </c>
      <c r="C61" t="s">
        <v>607</v>
      </c>
      <c r="D61" t="s">
        <v>31</v>
      </c>
      <c r="F61" t="s">
        <v>32</v>
      </c>
      <c r="G61" s="1">
        <v>38353</v>
      </c>
      <c r="H61" t="s">
        <v>33</v>
      </c>
      <c r="I61" t="s">
        <v>608</v>
      </c>
      <c r="J61" t="s">
        <v>608</v>
      </c>
      <c r="M61" t="s">
        <v>59</v>
      </c>
      <c r="N61" t="s">
        <v>609</v>
      </c>
      <c r="O61" t="s">
        <v>610</v>
      </c>
      <c r="P61" t="s">
        <v>611</v>
      </c>
      <c r="X61">
        <v>2566796</v>
      </c>
      <c r="Y61" t="s">
        <v>612</v>
      </c>
      <c r="Z61" t="s">
        <v>41</v>
      </c>
      <c r="AA61" t="s">
        <v>42</v>
      </c>
    </row>
    <row r="62" spans="1:28" x14ac:dyDescent="0.2">
      <c r="A62" t="s">
        <v>613</v>
      </c>
      <c r="B62" t="s">
        <v>614</v>
      </c>
      <c r="C62" t="s">
        <v>615</v>
      </c>
      <c r="D62" t="s">
        <v>31</v>
      </c>
      <c r="F62" t="s">
        <v>32</v>
      </c>
      <c r="G62" s="1">
        <v>35796</v>
      </c>
      <c r="H62" t="s">
        <v>33</v>
      </c>
      <c r="I62" t="s">
        <v>616</v>
      </c>
      <c r="J62" t="s">
        <v>616</v>
      </c>
      <c r="K62" t="s">
        <v>617</v>
      </c>
      <c r="N62" t="s">
        <v>618</v>
      </c>
      <c r="O62" t="s">
        <v>619</v>
      </c>
      <c r="P62" t="s">
        <v>620</v>
      </c>
      <c r="Q62" t="s">
        <v>621</v>
      </c>
      <c r="X62">
        <v>2595160</v>
      </c>
      <c r="Y62" t="s">
        <v>622</v>
      </c>
      <c r="Z62" t="s">
        <v>41</v>
      </c>
      <c r="AA62" t="s">
        <v>42</v>
      </c>
      <c r="AB62" t="s">
        <v>87</v>
      </c>
    </row>
    <row r="63" spans="1:28" x14ac:dyDescent="0.2">
      <c r="A63" t="s">
        <v>623</v>
      </c>
      <c r="B63" t="s">
        <v>624</v>
      </c>
      <c r="C63" t="s">
        <v>625</v>
      </c>
      <c r="D63" t="s">
        <v>31</v>
      </c>
      <c r="F63" t="s">
        <v>32</v>
      </c>
      <c r="G63" s="1">
        <v>16438</v>
      </c>
      <c r="H63" t="s">
        <v>91</v>
      </c>
      <c r="I63" t="s">
        <v>626</v>
      </c>
      <c r="J63" t="s">
        <v>626</v>
      </c>
      <c r="K63" t="s">
        <v>627</v>
      </c>
      <c r="M63" t="s">
        <v>59</v>
      </c>
      <c r="N63" t="s">
        <v>628</v>
      </c>
      <c r="O63" t="s">
        <v>629</v>
      </c>
      <c r="P63" t="s">
        <v>630</v>
      </c>
      <c r="X63">
        <v>2740134</v>
      </c>
      <c r="Y63" t="s">
        <v>150</v>
      </c>
      <c r="Z63" t="s">
        <v>41</v>
      </c>
      <c r="AA63" t="s">
        <v>42</v>
      </c>
      <c r="AB63" t="s">
        <v>543</v>
      </c>
    </row>
    <row r="64" spans="1:28" x14ac:dyDescent="0.2">
      <c r="A64" t="s">
        <v>631</v>
      </c>
      <c r="B64" t="s">
        <v>632</v>
      </c>
      <c r="C64" t="s">
        <v>633</v>
      </c>
      <c r="D64" t="s">
        <v>31</v>
      </c>
      <c r="F64" t="s">
        <v>32</v>
      </c>
      <c r="G64" s="1">
        <v>35796</v>
      </c>
      <c r="H64" t="s">
        <v>33</v>
      </c>
      <c r="I64" t="s">
        <v>634</v>
      </c>
      <c r="J64" t="s">
        <v>634</v>
      </c>
      <c r="K64" t="s">
        <v>635</v>
      </c>
      <c r="N64" t="s">
        <v>636</v>
      </c>
      <c r="O64" t="s">
        <v>637</v>
      </c>
      <c r="P64" t="s">
        <v>638</v>
      </c>
      <c r="X64">
        <v>2753936</v>
      </c>
      <c r="Y64" t="s">
        <v>639</v>
      </c>
      <c r="Z64" t="s">
        <v>41</v>
      </c>
      <c r="AA64" t="s">
        <v>42</v>
      </c>
    </row>
    <row r="65" spans="1:28" x14ac:dyDescent="0.2">
      <c r="A65" t="s">
        <v>640</v>
      </c>
      <c r="B65" t="s">
        <v>641</v>
      </c>
      <c r="C65" t="s">
        <v>642</v>
      </c>
      <c r="D65" t="s">
        <v>31</v>
      </c>
      <c r="F65" t="s">
        <v>32</v>
      </c>
      <c r="G65" s="1">
        <v>37257</v>
      </c>
      <c r="H65" t="s">
        <v>91</v>
      </c>
      <c r="I65" t="s">
        <v>643</v>
      </c>
      <c r="J65" t="s">
        <v>644</v>
      </c>
      <c r="K65" t="s">
        <v>645</v>
      </c>
      <c r="N65" t="s">
        <v>646</v>
      </c>
      <c r="O65" t="s">
        <v>647</v>
      </c>
      <c r="P65" t="s">
        <v>648</v>
      </c>
      <c r="X65">
        <v>2774033</v>
      </c>
      <c r="Y65" t="s">
        <v>649</v>
      </c>
      <c r="Z65" t="s">
        <v>41</v>
      </c>
      <c r="AA65" t="s">
        <v>42</v>
      </c>
      <c r="AB65" t="s">
        <v>650</v>
      </c>
    </row>
    <row r="66" spans="1:28" x14ac:dyDescent="0.2">
      <c r="A66" t="s">
        <v>651</v>
      </c>
      <c r="B66" t="s">
        <v>652</v>
      </c>
      <c r="C66" t="s">
        <v>653</v>
      </c>
      <c r="D66" t="s">
        <v>31</v>
      </c>
      <c r="F66" t="s">
        <v>32</v>
      </c>
      <c r="G66" s="1">
        <v>32509</v>
      </c>
      <c r="H66" t="s">
        <v>33</v>
      </c>
      <c r="I66" t="s">
        <v>654</v>
      </c>
      <c r="J66" t="s">
        <v>654</v>
      </c>
      <c r="K66" t="s">
        <v>655</v>
      </c>
      <c r="M66" t="s">
        <v>59</v>
      </c>
      <c r="N66" t="s">
        <v>656</v>
      </c>
      <c r="O66" t="s">
        <v>657</v>
      </c>
      <c r="P66" t="s">
        <v>658</v>
      </c>
      <c r="X66">
        <v>2810649</v>
      </c>
      <c r="Y66" t="s">
        <v>659</v>
      </c>
      <c r="Z66" t="s">
        <v>41</v>
      </c>
      <c r="AA66" t="s">
        <v>42</v>
      </c>
    </row>
    <row r="67" spans="1:28" x14ac:dyDescent="0.2">
      <c r="A67" t="s">
        <v>660</v>
      </c>
      <c r="B67" t="s">
        <v>661</v>
      </c>
      <c r="C67" t="s">
        <v>662</v>
      </c>
      <c r="D67" t="s">
        <v>31</v>
      </c>
      <c r="F67" t="s">
        <v>32</v>
      </c>
      <c r="G67" s="1">
        <v>33604</v>
      </c>
      <c r="H67" t="s">
        <v>67</v>
      </c>
      <c r="I67" t="s">
        <v>663</v>
      </c>
      <c r="J67" t="s">
        <v>663</v>
      </c>
      <c r="K67" t="s">
        <v>664</v>
      </c>
      <c r="N67" t="s">
        <v>665</v>
      </c>
      <c r="O67" t="s">
        <v>666</v>
      </c>
      <c r="P67" t="s">
        <v>667</v>
      </c>
      <c r="X67">
        <v>2827540</v>
      </c>
      <c r="Y67" t="s">
        <v>668</v>
      </c>
      <c r="Z67" t="s">
        <v>41</v>
      </c>
      <c r="AA67" t="s">
        <v>42</v>
      </c>
      <c r="AB67" t="s">
        <v>669</v>
      </c>
    </row>
    <row r="68" spans="1:28" x14ac:dyDescent="0.2">
      <c r="A68" t="s">
        <v>670</v>
      </c>
      <c r="B68" t="s">
        <v>671</v>
      </c>
      <c r="C68" t="s">
        <v>672</v>
      </c>
      <c r="D68" t="s">
        <v>31</v>
      </c>
      <c r="F68" t="s">
        <v>32</v>
      </c>
      <c r="G68" s="1">
        <v>3289</v>
      </c>
      <c r="H68" t="s">
        <v>33</v>
      </c>
      <c r="I68" t="s">
        <v>673</v>
      </c>
      <c r="J68" t="s">
        <v>673</v>
      </c>
      <c r="K68" t="s">
        <v>674</v>
      </c>
      <c r="N68" t="s">
        <v>675</v>
      </c>
      <c r="O68" t="s">
        <v>676</v>
      </c>
      <c r="P68">
        <f>49-4030-1401</f>
        <v>-5382</v>
      </c>
      <c r="X68">
        <v>2900916</v>
      </c>
      <c r="Y68" t="s">
        <v>677</v>
      </c>
      <c r="Z68" t="s">
        <v>41</v>
      </c>
      <c r="AA68" t="s">
        <v>42</v>
      </c>
      <c r="AB68" t="s">
        <v>678</v>
      </c>
    </row>
    <row r="69" spans="1:28" x14ac:dyDescent="0.2">
      <c r="A69" t="s">
        <v>679</v>
      </c>
      <c r="B69" t="s">
        <v>680</v>
      </c>
      <c r="C69" t="s">
        <v>681</v>
      </c>
      <c r="D69" t="s">
        <v>31</v>
      </c>
      <c r="F69" t="s">
        <v>32</v>
      </c>
      <c r="G69" t="s">
        <v>682</v>
      </c>
      <c r="H69" t="s">
        <v>33</v>
      </c>
      <c r="I69" t="s">
        <v>683</v>
      </c>
      <c r="J69" t="s">
        <v>683</v>
      </c>
      <c r="K69" t="s">
        <v>684</v>
      </c>
      <c r="N69" t="s">
        <v>685</v>
      </c>
      <c r="O69" t="s">
        <v>686</v>
      </c>
      <c r="P69" t="s">
        <v>687</v>
      </c>
      <c r="X69">
        <v>2926871</v>
      </c>
      <c r="Y69" t="s">
        <v>688</v>
      </c>
      <c r="Z69" t="s">
        <v>41</v>
      </c>
      <c r="AA69" t="s">
        <v>42</v>
      </c>
    </row>
    <row r="70" spans="1:28" x14ac:dyDescent="0.2">
      <c r="A70" t="s">
        <v>689</v>
      </c>
      <c r="B70" t="s">
        <v>690</v>
      </c>
      <c r="C70" t="s">
        <v>691</v>
      </c>
      <c r="D70" t="s">
        <v>31</v>
      </c>
      <c r="F70" t="s">
        <v>32</v>
      </c>
      <c r="H70" t="s">
        <v>33</v>
      </c>
      <c r="I70" t="s">
        <v>692</v>
      </c>
      <c r="J70" t="s">
        <v>693</v>
      </c>
      <c r="K70" t="s">
        <v>694</v>
      </c>
      <c r="Q70" t="s">
        <v>695</v>
      </c>
      <c r="X70">
        <v>3060596</v>
      </c>
      <c r="Y70" t="s">
        <v>696</v>
      </c>
      <c r="Z70" t="s">
        <v>41</v>
      </c>
      <c r="AA70" t="s">
        <v>42</v>
      </c>
    </row>
    <row r="71" spans="1:28" x14ac:dyDescent="0.2">
      <c r="A71" t="s">
        <v>697</v>
      </c>
      <c r="B71" t="s">
        <v>698</v>
      </c>
      <c r="C71" t="s">
        <v>699</v>
      </c>
      <c r="D71" t="s">
        <v>31</v>
      </c>
      <c r="F71" t="s">
        <v>32</v>
      </c>
      <c r="H71" t="s">
        <v>33</v>
      </c>
      <c r="I71" t="s">
        <v>700</v>
      </c>
      <c r="J71" t="s">
        <v>701</v>
      </c>
      <c r="K71" t="s">
        <v>702</v>
      </c>
      <c r="N71" t="s">
        <v>703</v>
      </c>
      <c r="O71" t="s">
        <v>704</v>
      </c>
      <c r="P71" t="s">
        <v>705</v>
      </c>
      <c r="X71">
        <v>3106140</v>
      </c>
      <c r="Y71" t="s">
        <v>706</v>
      </c>
      <c r="Z71" t="s">
        <v>41</v>
      </c>
      <c r="AA71" t="s">
        <v>42</v>
      </c>
    </row>
    <row r="72" spans="1:28" x14ac:dyDescent="0.2">
      <c r="A72" t="s">
        <v>707</v>
      </c>
      <c r="B72" t="s">
        <v>708</v>
      </c>
      <c r="C72" t="s">
        <v>709</v>
      </c>
      <c r="D72" t="s">
        <v>31</v>
      </c>
      <c r="F72" t="s">
        <v>32</v>
      </c>
      <c r="H72" t="s">
        <v>33</v>
      </c>
      <c r="I72" t="s">
        <v>710</v>
      </c>
      <c r="J72" t="s">
        <v>710</v>
      </c>
      <c r="N72" t="s">
        <v>711</v>
      </c>
      <c r="P72" t="s">
        <v>712</v>
      </c>
      <c r="X72">
        <v>3267308</v>
      </c>
      <c r="Y72" t="s">
        <v>713</v>
      </c>
      <c r="Z72" t="s">
        <v>41</v>
      </c>
      <c r="AA72" t="s">
        <v>42</v>
      </c>
    </row>
    <row r="73" spans="1:28" x14ac:dyDescent="0.2">
      <c r="A73" t="s">
        <v>714</v>
      </c>
      <c r="B73" t="s">
        <v>715</v>
      </c>
      <c r="C73" t="s">
        <v>716</v>
      </c>
      <c r="D73" t="s">
        <v>31</v>
      </c>
      <c r="F73" t="s">
        <v>32</v>
      </c>
      <c r="G73" t="s">
        <v>682</v>
      </c>
      <c r="H73" t="s">
        <v>33</v>
      </c>
      <c r="I73" t="s">
        <v>717</v>
      </c>
      <c r="J73" t="s">
        <v>717</v>
      </c>
      <c r="K73" t="s">
        <v>718</v>
      </c>
      <c r="M73" t="s">
        <v>59</v>
      </c>
      <c r="N73" t="s">
        <v>719</v>
      </c>
      <c r="O73" t="s">
        <v>720</v>
      </c>
      <c r="P73">
        <f>49-406-390-70</f>
        <v>-817</v>
      </c>
      <c r="X73">
        <v>3295328</v>
      </c>
      <c r="Y73" t="s">
        <v>721</v>
      </c>
      <c r="Z73" t="s">
        <v>41</v>
      </c>
      <c r="AA73" t="s">
        <v>42</v>
      </c>
      <c r="AB73" t="s">
        <v>722</v>
      </c>
    </row>
    <row r="74" spans="1:28" x14ac:dyDescent="0.2">
      <c r="A74" t="s">
        <v>723</v>
      </c>
      <c r="B74" t="s">
        <v>724</v>
      </c>
      <c r="C74" t="s">
        <v>725</v>
      </c>
      <c r="D74" t="s">
        <v>31</v>
      </c>
      <c r="F74" t="s">
        <v>32</v>
      </c>
      <c r="H74" t="s">
        <v>67</v>
      </c>
      <c r="I74" t="s">
        <v>726</v>
      </c>
      <c r="J74" t="s">
        <v>727</v>
      </c>
      <c r="K74" t="s">
        <v>728</v>
      </c>
      <c r="N74" t="s">
        <v>729</v>
      </c>
      <c r="O74" t="s">
        <v>730</v>
      </c>
      <c r="P74" t="s">
        <v>731</v>
      </c>
      <c r="X74">
        <v>3317657</v>
      </c>
      <c r="Y74" t="s">
        <v>732</v>
      </c>
      <c r="Z74" t="s">
        <v>41</v>
      </c>
      <c r="AA74" t="s">
        <v>42</v>
      </c>
      <c r="AB74" t="s">
        <v>192</v>
      </c>
    </row>
    <row r="75" spans="1:28" x14ac:dyDescent="0.2">
      <c r="A75" t="s">
        <v>733</v>
      </c>
      <c r="B75" t="s">
        <v>734</v>
      </c>
      <c r="C75" t="s">
        <v>735</v>
      </c>
      <c r="D75" t="s">
        <v>31</v>
      </c>
      <c r="F75" t="s">
        <v>32</v>
      </c>
      <c r="H75" t="s">
        <v>33</v>
      </c>
      <c r="I75" t="s">
        <v>736</v>
      </c>
      <c r="J75" t="s">
        <v>736</v>
      </c>
      <c r="K75" t="s">
        <v>737</v>
      </c>
      <c r="N75" t="s">
        <v>738</v>
      </c>
      <c r="O75" t="s">
        <v>739</v>
      </c>
      <c r="P75" t="s">
        <v>740</v>
      </c>
      <c r="X75">
        <v>3708365</v>
      </c>
      <c r="Y75" t="s">
        <v>741</v>
      </c>
      <c r="Z75" t="s">
        <v>41</v>
      </c>
      <c r="AA75" t="s">
        <v>42</v>
      </c>
    </row>
    <row r="76" spans="1:28" x14ac:dyDescent="0.2">
      <c r="A76" t="s">
        <v>742</v>
      </c>
      <c r="B76" t="s">
        <v>743</v>
      </c>
      <c r="C76" t="s">
        <v>744</v>
      </c>
      <c r="D76" t="s">
        <v>31</v>
      </c>
      <c r="F76" t="s">
        <v>32</v>
      </c>
      <c r="G76" s="1">
        <v>32509</v>
      </c>
      <c r="H76" t="s">
        <v>91</v>
      </c>
      <c r="I76" t="s">
        <v>745</v>
      </c>
      <c r="J76" t="s">
        <v>745</v>
      </c>
      <c r="K76" t="s">
        <v>746</v>
      </c>
      <c r="M76" t="s">
        <v>59</v>
      </c>
      <c r="N76" t="s">
        <v>747</v>
      </c>
      <c r="O76" t="s">
        <v>748</v>
      </c>
      <c r="P76" t="s">
        <v>749</v>
      </c>
      <c r="X76">
        <v>3734057</v>
      </c>
      <c r="Y76" t="s">
        <v>750</v>
      </c>
      <c r="Z76" t="s">
        <v>41</v>
      </c>
      <c r="AA76" t="s">
        <v>42</v>
      </c>
    </row>
    <row r="77" spans="1:28" x14ac:dyDescent="0.2">
      <c r="A77" t="s">
        <v>751</v>
      </c>
      <c r="B77" t="s">
        <v>752</v>
      </c>
      <c r="C77" t="s">
        <v>753</v>
      </c>
      <c r="D77" t="s">
        <v>31</v>
      </c>
      <c r="F77" t="s">
        <v>32</v>
      </c>
      <c r="G77" s="1">
        <v>31413</v>
      </c>
      <c r="H77" t="s">
        <v>91</v>
      </c>
      <c r="I77" t="s">
        <v>754</v>
      </c>
      <c r="J77" t="s">
        <v>754</v>
      </c>
      <c r="K77" t="s">
        <v>755</v>
      </c>
      <c r="N77" t="s">
        <v>756</v>
      </c>
      <c r="O77" t="s">
        <v>757</v>
      </c>
      <c r="P77" t="s">
        <v>758</v>
      </c>
      <c r="X77">
        <v>3734216</v>
      </c>
      <c r="Y77" t="s">
        <v>250</v>
      </c>
      <c r="Z77" t="s">
        <v>41</v>
      </c>
      <c r="AA77" t="s">
        <v>42</v>
      </c>
    </row>
    <row r="78" spans="1:28" x14ac:dyDescent="0.2">
      <c r="A78" t="s">
        <v>759</v>
      </c>
      <c r="B78" t="s">
        <v>760</v>
      </c>
      <c r="C78" t="s">
        <v>761</v>
      </c>
      <c r="D78" t="s">
        <v>31</v>
      </c>
      <c r="F78" t="s">
        <v>32</v>
      </c>
      <c r="G78" s="1">
        <v>36161</v>
      </c>
      <c r="H78" t="s">
        <v>33</v>
      </c>
      <c r="I78" t="s">
        <v>762</v>
      </c>
      <c r="J78" t="s">
        <v>762</v>
      </c>
      <c r="K78" t="s">
        <v>763</v>
      </c>
      <c r="N78" t="s">
        <v>764</v>
      </c>
      <c r="O78" t="s">
        <v>765</v>
      </c>
      <c r="P78" t="s">
        <v>766</v>
      </c>
      <c r="X78">
        <v>3808065</v>
      </c>
      <c r="Y78" t="s">
        <v>767</v>
      </c>
      <c r="Z78" t="s">
        <v>41</v>
      </c>
      <c r="AA78" t="s">
        <v>42</v>
      </c>
      <c r="AB78" t="s">
        <v>221</v>
      </c>
    </row>
    <row r="79" spans="1:28" x14ac:dyDescent="0.2">
      <c r="A79" t="s">
        <v>768</v>
      </c>
      <c r="B79" t="s">
        <v>769</v>
      </c>
      <c r="C79" t="s">
        <v>770</v>
      </c>
      <c r="D79" t="s">
        <v>31</v>
      </c>
      <c r="F79" t="s">
        <v>32</v>
      </c>
      <c r="H79" t="s">
        <v>33</v>
      </c>
      <c r="I79" t="s">
        <v>771</v>
      </c>
      <c r="J79" t="s">
        <v>772</v>
      </c>
      <c r="K79" t="s">
        <v>773</v>
      </c>
      <c r="N79" t="s">
        <v>774</v>
      </c>
      <c r="O79" t="s">
        <v>775</v>
      </c>
      <c r="P79" t="s">
        <v>776</v>
      </c>
      <c r="X79">
        <v>3849056</v>
      </c>
      <c r="Y79" t="s">
        <v>777</v>
      </c>
      <c r="Z79" t="s">
        <v>41</v>
      </c>
      <c r="AA79" t="s">
        <v>42</v>
      </c>
      <c r="AB79" t="s">
        <v>221</v>
      </c>
    </row>
    <row r="80" spans="1:28" x14ac:dyDescent="0.2">
      <c r="A80" t="s">
        <v>778</v>
      </c>
      <c r="B80" t="s">
        <v>779</v>
      </c>
      <c r="C80" t="s">
        <v>780</v>
      </c>
      <c r="D80" t="s">
        <v>31</v>
      </c>
      <c r="F80" t="s">
        <v>32</v>
      </c>
      <c r="G80" s="1">
        <v>44197</v>
      </c>
      <c r="H80" t="s">
        <v>67</v>
      </c>
      <c r="I80" t="s">
        <v>781</v>
      </c>
      <c r="J80" t="s">
        <v>781</v>
      </c>
      <c r="K80" t="s">
        <v>782</v>
      </c>
      <c r="N80" t="s">
        <v>783</v>
      </c>
      <c r="O80" t="s">
        <v>784</v>
      </c>
      <c r="P80" t="s">
        <v>785</v>
      </c>
      <c r="X80">
        <v>4000659</v>
      </c>
      <c r="Y80" t="s">
        <v>786</v>
      </c>
      <c r="Z80" t="s">
        <v>41</v>
      </c>
      <c r="AA80" t="s">
        <v>42</v>
      </c>
      <c r="AB80" t="s">
        <v>669</v>
      </c>
    </row>
    <row r="81" spans="1:28" x14ac:dyDescent="0.2">
      <c r="A81" t="s">
        <v>787</v>
      </c>
      <c r="B81" t="s">
        <v>788</v>
      </c>
      <c r="C81" t="s">
        <v>789</v>
      </c>
      <c r="D81" t="s">
        <v>31</v>
      </c>
      <c r="F81" t="s">
        <v>790</v>
      </c>
      <c r="G81" t="s">
        <v>682</v>
      </c>
      <c r="H81" t="s">
        <v>33</v>
      </c>
      <c r="I81" t="s">
        <v>791</v>
      </c>
      <c r="J81" t="s">
        <v>792</v>
      </c>
      <c r="K81" t="s">
        <v>793</v>
      </c>
      <c r="N81" t="s">
        <v>794</v>
      </c>
      <c r="O81" t="s">
        <v>795</v>
      </c>
      <c r="P81" t="s">
        <v>796</v>
      </c>
      <c r="Q81" t="s">
        <v>797</v>
      </c>
      <c r="X81">
        <v>4039983</v>
      </c>
      <c r="Y81" t="s">
        <v>798</v>
      </c>
      <c r="Z81" t="s">
        <v>41</v>
      </c>
      <c r="AA81" t="s">
        <v>42</v>
      </c>
      <c r="AB81" t="s">
        <v>241</v>
      </c>
    </row>
    <row r="82" spans="1:28" x14ac:dyDescent="0.2">
      <c r="A82" t="s">
        <v>799</v>
      </c>
      <c r="B82" t="s">
        <v>800</v>
      </c>
      <c r="C82" t="s">
        <v>801</v>
      </c>
      <c r="D82" t="s">
        <v>31</v>
      </c>
      <c r="F82" t="s">
        <v>32</v>
      </c>
      <c r="G82" t="s">
        <v>802</v>
      </c>
      <c r="H82" t="s">
        <v>91</v>
      </c>
      <c r="I82" t="s">
        <v>803</v>
      </c>
      <c r="J82" t="s">
        <v>804</v>
      </c>
      <c r="K82" t="s">
        <v>805</v>
      </c>
      <c r="N82" t="s">
        <v>806</v>
      </c>
      <c r="O82" t="s">
        <v>807</v>
      </c>
      <c r="P82" t="s">
        <v>808</v>
      </c>
      <c r="X82">
        <v>4082335</v>
      </c>
      <c r="Y82" t="s">
        <v>809</v>
      </c>
      <c r="Z82" t="s">
        <v>41</v>
      </c>
      <c r="AA82" t="s">
        <v>42</v>
      </c>
    </row>
    <row r="83" spans="1:28" x14ac:dyDescent="0.2">
      <c r="A83" t="s">
        <v>810</v>
      </c>
      <c r="B83" t="s">
        <v>811</v>
      </c>
      <c r="C83" t="s">
        <v>812</v>
      </c>
      <c r="D83" t="s">
        <v>31</v>
      </c>
      <c r="F83" t="s">
        <v>32</v>
      </c>
      <c r="G83" s="1">
        <v>37622</v>
      </c>
      <c r="H83" t="s">
        <v>33</v>
      </c>
      <c r="I83" t="s">
        <v>813</v>
      </c>
      <c r="J83" t="s">
        <v>814</v>
      </c>
      <c r="K83" t="s">
        <v>815</v>
      </c>
      <c r="N83" t="s">
        <v>816</v>
      </c>
      <c r="O83" t="s">
        <v>817</v>
      </c>
      <c r="P83" t="s">
        <v>818</v>
      </c>
      <c r="X83">
        <v>1935731</v>
      </c>
      <c r="Y83" t="s">
        <v>819</v>
      </c>
      <c r="Z83" t="s">
        <v>820</v>
      </c>
      <c r="AA83" t="s">
        <v>821</v>
      </c>
    </row>
    <row r="84" spans="1:28" x14ac:dyDescent="0.2">
      <c r="A84" t="s">
        <v>822</v>
      </c>
      <c r="B84" t="s">
        <v>823</v>
      </c>
      <c r="C84" t="s">
        <v>824</v>
      </c>
      <c r="D84" t="s">
        <v>31</v>
      </c>
      <c r="F84" t="s">
        <v>32</v>
      </c>
      <c r="G84" s="1">
        <v>35431</v>
      </c>
      <c r="H84" t="s">
        <v>91</v>
      </c>
      <c r="I84" t="s">
        <v>825</v>
      </c>
      <c r="J84" t="s">
        <v>825</v>
      </c>
      <c r="K84" t="s">
        <v>826</v>
      </c>
      <c r="M84" t="s">
        <v>59</v>
      </c>
      <c r="N84" t="s">
        <v>827</v>
      </c>
      <c r="P84" t="s">
        <v>828</v>
      </c>
      <c r="X84">
        <v>1935822</v>
      </c>
      <c r="Y84" t="s">
        <v>99</v>
      </c>
      <c r="Z84" t="s">
        <v>829</v>
      </c>
      <c r="AA84" t="s">
        <v>830</v>
      </c>
      <c r="AB84" t="s">
        <v>831</v>
      </c>
    </row>
    <row r="85" spans="1:28" x14ac:dyDescent="0.2">
      <c r="A85" t="s">
        <v>832</v>
      </c>
      <c r="B85" t="s">
        <v>833</v>
      </c>
      <c r="C85" t="s">
        <v>834</v>
      </c>
      <c r="D85" t="s">
        <v>31</v>
      </c>
      <c r="F85" t="s">
        <v>32</v>
      </c>
      <c r="G85" s="1">
        <v>23377</v>
      </c>
      <c r="H85" t="s">
        <v>33</v>
      </c>
      <c r="I85" t="s">
        <v>835</v>
      </c>
      <c r="J85" t="s">
        <v>835</v>
      </c>
      <c r="K85" t="s">
        <v>836</v>
      </c>
      <c r="L85" t="s">
        <v>59</v>
      </c>
      <c r="M85" t="s">
        <v>59</v>
      </c>
      <c r="N85" t="s">
        <v>837</v>
      </c>
      <c r="O85" t="s">
        <v>838</v>
      </c>
      <c r="P85" t="s">
        <v>839</v>
      </c>
      <c r="X85">
        <v>1935912</v>
      </c>
      <c r="Y85" t="s">
        <v>840</v>
      </c>
      <c r="Z85" t="s">
        <v>841</v>
      </c>
      <c r="AA85" t="s">
        <v>821</v>
      </c>
    </row>
    <row r="86" spans="1:28" x14ac:dyDescent="0.2">
      <c r="A86" t="s">
        <v>842</v>
      </c>
      <c r="B86" t="s">
        <v>843</v>
      </c>
      <c r="C86" t="s">
        <v>844</v>
      </c>
      <c r="D86" t="s">
        <v>31</v>
      </c>
      <c r="F86" t="s">
        <v>32</v>
      </c>
      <c r="G86" s="1">
        <v>37257</v>
      </c>
      <c r="H86" t="s">
        <v>67</v>
      </c>
      <c r="I86" t="s">
        <v>845</v>
      </c>
      <c r="J86" t="s">
        <v>846</v>
      </c>
      <c r="N86" t="s">
        <v>847</v>
      </c>
      <c r="O86" t="s">
        <v>848</v>
      </c>
      <c r="P86" t="s">
        <v>849</v>
      </c>
      <c r="X86">
        <v>1935925</v>
      </c>
      <c r="Y86" t="s">
        <v>850</v>
      </c>
      <c r="Z86" t="s">
        <v>851</v>
      </c>
      <c r="AA86" t="s">
        <v>852</v>
      </c>
    </row>
    <row r="87" spans="1:28" x14ac:dyDescent="0.2">
      <c r="A87" t="s">
        <v>853</v>
      </c>
      <c r="B87" t="s">
        <v>854</v>
      </c>
      <c r="C87" t="s">
        <v>855</v>
      </c>
      <c r="D87" t="s">
        <v>31</v>
      </c>
      <c r="F87" t="s">
        <v>32</v>
      </c>
      <c r="G87" s="1">
        <v>41275</v>
      </c>
      <c r="H87" t="s">
        <v>33</v>
      </c>
      <c r="I87" t="s">
        <v>856</v>
      </c>
      <c r="J87" t="s">
        <v>857</v>
      </c>
      <c r="K87" t="s">
        <v>858</v>
      </c>
      <c r="L87" t="s">
        <v>59</v>
      </c>
      <c r="M87" t="s">
        <v>59</v>
      </c>
      <c r="N87" t="s">
        <v>859</v>
      </c>
      <c r="O87" t="s">
        <v>860</v>
      </c>
      <c r="P87" t="s">
        <v>861</v>
      </c>
      <c r="X87">
        <v>1935928</v>
      </c>
      <c r="Y87" t="s">
        <v>150</v>
      </c>
      <c r="Z87" t="s">
        <v>862</v>
      </c>
      <c r="AA87" t="s">
        <v>863</v>
      </c>
      <c r="AB87" t="s">
        <v>864</v>
      </c>
    </row>
    <row r="88" spans="1:28" x14ac:dyDescent="0.2">
      <c r="A88" t="s">
        <v>865</v>
      </c>
      <c r="B88" t="s">
        <v>866</v>
      </c>
      <c r="C88" t="s">
        <v>867</v>
      </c>
      <c r="D88" t="s">
        <v>31</v>
      </c>
      <c r="F88" t="s">
        <v>32</v>
      </c>
      <c r="G88" s="1">
        <v>43831</v>
      </c>
      <c r="H88" t="s">
        <v>33</v>
      </c>
      <c r="I88" t="s">
        <v>868</v>
      </c>
      <c r="J88" t="s">
        <v>869</v>
      </c>
      <c r="K88" t="s">
        <v>870</v>
      </c>
      <c r="M88" t="s">
        <v>59</v>
      </c>
      <c r="N88" t="s">
        <v>871</v>
      </c>
      <c r="O88" t="s">
        <v>872</v>
      </c>
      <c r="P88" t="s">
        <v>873</v>
      </c>
      <c r="X88">
        <v>1936301</v>
      </c>
      <c r="Y88" t="s">
        <v>874</v>
      </c>
      <c r="Z88" t="s">
        <v>875</v>
      </c>
      <c r="AA88" t="s">
        <v>876</v>
      </c>
    </row>
    <row r="89" spans="1:28" x14ac:dyDescent="0.2">
      <c r="A89" t="s">
        <v>877</v>
      </c>
      <c r="B89" t="s">
        <v>878</v>
      </c>
      <c r="C89" t="s">
        <v>879</v>
      </c>
      <c r="D89" t="s">
        <v>31</v>
      </c>
      <c r="F89" t="s">
        <v>32</v>
      </c>
      <c r="G89" s="1">
        <v>38353</v>
      </c>
      <c r="H89" t="s">
        <v>67</v>
      </c>
      <c r="I89" t="s">
        <v>880</v>
      </c>
      <c r="J89" t="s">
        <v>881</v>
      </c>
      <c r="K89" t="s">
        <v>882</v>
      </c>
      <c r="L89" t="s">
        <v>59</v>
      </c>
      <c r="M89" t="s">
        <v>59</v>
      </c>
      <c r="N89" t="s">
        <v>883</v>
      </c>
      <c r="O89" t="s">
        <v>884</v>
      </c>
      <c r="P89" t="s">
        <v>885</v>
      </c>
      <c r="X89">
        <v>1936307</v>
      </c>
      <c r="Y89" t="s">
        <v>886</v>
      </c>
      <c r="Z89" t="s">
        <v>887</v>
      </c>
      <c r="AA89" t="s">
        <v>888</v>
      </c>
      <c r="AB89" t="s">
        <v>221</v>
      </c>
    </row>
    <row r="90" spans="1:28" x14ac:dyDescent="0.2">
      <c r="A90" t="s">
        <v>889</v>
      </c>
      <c r="B90" t="s">
        <v>890</v>
      </c>
      <c r="C90" t="s">
        <v>891</v>
      </c>
      <c r="D90" t="s">
        <v>31</v>
      </c>
      <c r="F90" t="s">
        <v>32</v>
      </c>
      <c r="G90" s="1">
        <v>41640</v>
      </c>
      <c r="H90" t="s">
        <v>33</v>
      </c>
      <c r="I90" t="s">
        <v>892</v>
      </c>
      <c r="J90" t="s">
        <v>892</v>
      </c>
      <c r="K90" t="s">
        <v>893</v>
      </c>
      <c r="L90" t="s">
        <v>59</v>
      </c>
      <c r="M90" t="s">
        <v>59</v>
      </c>
      <c r="N90" t="s">
        <v>894</v>
      </c>
      <c r="O90" t="s">
        <v>895</v>
      </c>
      <c r="P90">
        <f>1-855-545-5677</f>
        <v>-7076</v>
      </c>
      <c r="Q90" t="s">
        <v>896</v>
      </c>
      <c r="X90">
        <v>1936326</v>
      </c>
      <c r="Y90" t="s">
        <v>515</v>
      </c>
      <c r="Z90" t="s">
        <v>897</v>
      </c>
      <c r="AA90" t="s">
        <v>821</v>
      </c>
      <c r="AB90" t="s">
        <v>898</v>
      </c>
    </row>
    <row r="91" spans="1:28" x14ac:dyDescent="0.2">
      <c r="A91" t="s">
        <v>899</v>
      </c>
      <c r="B91" t="s">
        <v>900</v>
      </c>
      <c r="C91" t="s">
        <v>901</v>
      </c>
      <c r="D91" t="s">
        <v>31</v>
      </c>
      <c r="F91" t="s">
        <v>32</v>
      </c>
      <c r="G91" s="1">
        <v>42736</v>
      </c>
      <c r="H91" t="s">
        <v>33</v>
      </c>
      <c r="I91" t="s">
        <v>902</v>
      </c>
      <c r="J91" t="s">
        <v>902</v>
      </c>
      <c r="K91" t="s">
        <v>903</v>
      </c>
      <c r="N91" t="s">
        <v>904</v>
      </c>
      <c r="P91" t="s">
        <v>905</v>
      </c>
      <c r="X91">
        <v>1936404</v>
      </c>
      <c r="Y91" t="s">
        <v>906</v>
      </c>
      <c r="Z91" t="s">
        <v>907</v>
      </c>
      <c r="AA91" t="s">
        <v>908</v>
      </c>
      <c r="AB91" t="s">
        <v>909</v>
      </c>
    </row>
    <row r="92" spans="1:28" x14ac:dyDescent="0.2">
      <c r="A92" t="s">
        <v>910</v>
      </c>
      <c r="B92" t="s">
        <v>911</v>
      </c>
      <c r="C92" t="s">
        <v>912</v>
      </c>
      <c r="D92" t="s">
        <v>31</v>
      </c>
      <c r="F92" t="s">
        <v>32</v>
      </c>
      <c r="G92" s="1">
        <v>28856</v>
      </c>
      <c r="H92" t="s">
        <v>91</v>
      </c>
      <c r="I92" t="s">
        <v>913</v>
      </c>
      <c r="J92" t="s">
        <v>914</v>
      </c>
      <c r="K92" t="s">
        <v>915</v>
      </c>
      <c r="M92" t="s">
        <v>59</v>
      </c>
      <c r="N92" t="s">
        <v>916</v>
      </c>
      <c r="O92" t="s">
        <v>917</v>
      </c>
      <c r="P92" t="s">
        <v>918</v>
      </c>
      <c r="X92">
        <v>1936466</v>
      </c>
      <c r="Y92" t="s">
        <v>919</v>
      </c>
      <c r="Z92" t="s">
        <v>920</v>
      </c>
      <c r="AA92" t="s">
        <v>821</v>
      </c>
    </row>
    <row r="93" spans="1:28" x14ac:dyDescent="0.2">
      <c r="A93" t="s">
        <v>921</v>
      </c>
      <c r="B93" t="s">
        <v>922</v>
      </c>
      <c r="C93" t="s">
        <v>923</v>
      </c>
      <c r="D93" t="s">
        <v>31</v>
      </c>
      <c r="F93" t="s">
        <v>32</v>
      </c>
      <c r="G93" s="1">
        <v>27395</v>
      </c>
      <c r="H93" t="s">
        <v>33</v>
      </c>
      <c r="I93" t="s">
        <v>924</v>
      </c>
      <c r="J93" t="s">
        <v>924</v>
      </c>
      <c r="K93" t="s">
        <v>925</v>
      </c>
      <c r="N93" t="s">
        <v>926</v>
      </c>
      <c r="O93" t="s">
        <v>927</v>
      </c>
      <c r="P93" t="s">
        <v>928</v>
      </c>
      <c r="Q93" t="s">
        <v>929</v>
      </c>
      <c r="X93">
        <v>1936740</v>
      </c>
      <c r="Y93" t="s">
        <v>930</v>
      </c>
      <c r="Z93" t="s">
        <v>931</v>
      </c>
      <c r="AA93" t="s">
        <v>932</v>
      </c>
    </row>
    <row r="94" spans="1:28" x14ac:dyDescent="0.2">
      <c r="A94" t="s">
        <v>933</v>
      </c>
      <c r="B94" t="s">
        <v>934</v>
      </c>
      <c r="C94" t="s">
        <v>935</v>
      </c>
      <c r="D94" t="s">
        <v>31</v>
      </c>
      <c r="F94" t="s">
        <v>32</v>
      </c>
      <c r="G94" s="1">
        <v>32509</v>
      </c>
      <c r="H94" t="s">
        <v>33</v>
      </c>
      <c r="I94" t="s">
        <v>936</v>
      </c>
      <c r="J94" t="s">
        <v>936</v>
      </c>
      <c r="K94" t="s">
        <v>937</v>
      </c>
      <c r="L94" t="s">
        <v>59</v>
      </c>
      <c r="N94" t="s">
        <v>938</v>
      </c>
      <c r="O94" t="s">
        <v>939</v>
      </c>
      <c r="P94" t="s">
        <v>940</v>
      </c>
      <c r="X94">
        <v>1937275</v>
      </c>
      <c r="Y94" t="s">
        <v>941</v>
      </c>
      <c r="Z94" t="s">
        <v>942</v>
      </c>
      <c r="AA94" t="s">
        <v>888</v>
      </c>
      <c r="AB94" t="s">
        <v>943</v>
      </c>
    </row>
    <row r="95" spans="1:28" x14ac:dyDescent="0.2">
      <c r="A95" t="s">
        <v>944</v>
      </c>
      <c r="B95" t="s">
        <v>945</v>
      </c>
      <c r="C95" t="s">
        <v>946</v>
      </c>
      <c r="D95" t="s">
        <v>31</v>
      </c>
      <c r="F95" t="s">
        <v>32</v>
      </c>
      <c r="G95" s="1">
        <v>39448</v>
      </c>
      <c r="H95" t="s">
        <v>33</v>
      </c>
      <c r="I95" t="s">
        <v>947</v>
      </c>
      <c r="J95" t="s">
        <v>947</v>
      </c>
      <c r="K95" t="s">
        <v>948</v>
      </c>
      <c r="L95" t="s">
        <v>59</v>
      </c>
      <c r="M95" t="s">
        <v>59</v>
      </c>
      <c r="N95" t="s">
        <v>949</v>
      </c>
      <c r="X95">
        <v>1937495</v>
      </c>
      <c r="Y95" t="s">
        <v>950</v>
      </c>
      <c r="Z95" t="s">
        <v>951</v>
      </c>
      <c r="AA95" t="s">
        <v>952</v>
      </c>
      <c r="AB95" t="s">
        <v>221</v>
      </c>
    </row>
    <row r="96" spans="1:28" x14ac:dyDescent="0.2">
      <c r="A96" t="s">
        <v>953</v>
      </c>
      <c r="B96" t="s">
        <v>954</v>
      </c>
      <c r="C96" t="s">
        <v>955</v>
      </c>
      <c r="D96" t="s">
        <v>31</v>
      </c>
      <c r="F96" t="s">
        <v>32</v>
      </c>
      <c r="G96" s="1">
        <v>28491</v>
      </c>
      <c r="H96" t="s">
        <v>91</v>
      </c>
      <c r="I96" t="s">
        <v>956</v>
      </c>
      <c r="J96" t="s">
        <v>956</v>
      </c>
      <c r="K96" t="s">
        <v>957</v>
      </c>
      <c r="L96" t="s">
        <v>59</v>
      </c>
      <c r="N96" t="s">
        <v>958</v>
      </c>
      <c r="O96" t="s">
        <v>959</v>
      </c>
      <c r="P96" t="s">
        <v>960</v>
      </c>
      <c r="X96">
        <v>1937727</v>
      </c>
      <c r="Y96" t="s">
        <v>961</v>
      </c>
      <c r="Z96" t="s">
        <v>962</v>
      </c>
      <c r="AA96" t="s">
        <v>888</v>
      </c>
    </row>
    <row r="97" spans="1:28" x14ac:dyDescent="0.2">
      <c r="A97" t="s">
        <v>963</v>
      </c>
      <c r="B97" t="s">
        <v>964</v>
      </c>
      <c r="C97" t="s">
        <v>965</v>
      </c>
      <c r="D97" t="s">
        <v>31</v>
      </c>
      <c r="F97" t="s">
        <v>32</v>
      </c>
      <c r="G97" s="1">
        <v>36161</v>
      </c>
      <c r="H97" t="s">
        <v>33</v>
      </c>
      <c r="I97" t="s">
        <v>966</v>
      </c>
      <c r="J97" t="s">
        <v>966</v>
      </c>
      <c r="K97" t="s">
        <v>967</v>
      </c>
      <c r="L97" t="s">
        <v>59</v>
      </c>
      <c r="M97" t="s">
        <v>59</v>
      </c>
      <c r="N97" t="s">
        <v>968</v>
      </c>
      <c r="X97">
        <v>1937774</v>
      </c>
      <c r="Y97" t="s">
        <v>141</v>
      </c>
      <c r="Z97" t="s">
        <v>969</v>
      </c>
      <c r="AA97" t="s">
        <v>952</v>
      </c>
      <c r="AB97" t="s">
        <v>970</v>
      </c>
    </row>
    <row r="98" spans="1:28" x14ac:dyDescent="0.2">
      <c r="A98" t="s">
        <v>971</v>
      </c>
      <c r="B98" t="s">
        <v>972</v>
      </c>
      <c r="C98" t="s">
        <v>973</v>
      </c>
      <c r="D98" t="s">
        <v>31</v>
      </c>
      <c r="F98" t="s">
        <v>32</v>
      </c>
      <c r="H98" t="s">
        <v>91</v>
      </c>
      <c r="I98" t="s">
        <v>974</v>
      </c>
      <c r="J98" t="s">
        <v>974</v>
      </c>
      <c r="K98" t="s">
        <v>975</v>
      </c>
      <c r="L98" t="s">
        <v>59</v>
      </c>
      <c r="M98" t="s">
        <v>59</v>
      </c>
      <c r="N98" t="s">
        <v>976</v>
      </c>
      <c r="O98" t="s">
        <v>977</v>
      </c>
      <c r="P98" t="s">
        <v>978</v>
      </c>
      <c r="X98">
        <v>1937881</v>
      </c>
      <c r="Y98" t="s">
        <v>930</v>
      </c>
      <c r="Z98" t="s">
        <v>979</v>
      </c>
      <c r="AA98" t="s">
        <v>876</v>
      </c>
      <c r="AB98" t="s">
        <v>669</v>
      </c>
    </row>
    <row r="99" spans="1:28" x14ac:dyDescent="0.2">
      <c r="A99" t="s">
        <v>980</v>
      </c>
      <c r="B99" t="s">
        <v>981</v>
      </c>
      <c r="C99" t="s">
        <v>982</v>
      </c>
      <c r="D99" t="s">
        <v>31</v>
      </c>
      <c r="F99" t="s">
        <v>32</v>
      </c>
      <c r="G99" s="1">
        <v>42370</v>
      </c>
      <c r="H99" t="s">
        <v>33</v>
      </c>
      <c r="I99" t="s">
        <v>983</v>
      </c>
      <c r="J99" t="s">
        <v>984</v>
      </c>
      <c r="K99" t="s">
        <v>985</v>
      </c>
      <c r="N99" t="s">
        <v>986</v>
      </c>
      <c r="P99" t="s">
        <v>987</v>
      </c>
      <c r="X99">
        <v>1937901</v>
      </c>
      <c r="Y99" t="s">
        <v>988</v>
      </c>
      <c r="Z99" t="s">
        <v>989</v>
      </c>
      <c r="AA99" t="s">
        <v>908</v>
      </c>
      <c r="AB99" t="s">
        <v>678</v>
      </c>
    </row>
    <row r="100" spans="1:28" x14ac:dyDescent="0.2">
      <c r="A100" t="s">
        <v>990</v>
      </c>
      <c r="B100" t="s">
        <v>991</v>
      </c>
      <c r="C100" t="s">
        <v>992</v>
      </c>
      <c r="D100" t="s">
        <v>31</v>
      </c>
      <c r="F100" t="s">
        <v>32</v>
      </c>
      <c r="G100" s="1">
        <v>41640</v>
      </c>
      <c r="H100" t="s">
        <v>33</v>
      </c>
      <c r="I100" t="s">
        <v>993</v>
      </c>
      <c r="J100" t="s">
        <v>993</v>
      </c>
      <c r="K100" t="s">
        <v>994</v>
      </c>
      <c r="M100" t="s">
        <v>59</v>
      </c>
      <c r="N100" t="s">
        <v>995</v>
      </c>
      <c r="O100" t="s">
        <v>996</v>
      </c>
      <c r="P100" t="s">
        <v>997</v>
      </c>
      <c r="X100">
        <v>1937973</v>
      </c>
      <c r="Y100" t="s">
        <v>998</v>
      </c>
      <c r="Z100" t="s">
        <v>999</v>
      </c>
      <c r="AA100" t="s">
        <v>888</v>
      </c>
      <c r="AB100" t="s">
        <v>221</v>
      </c>
    </row>
    <row r="101" spans="1:28" x14ac:dyDescent="0.2">
      <c r="A101" t="s">
        <v>1000</v>
      </c>
      <c r="B101" t="s">
        <v>1001</v>
      </c>
      <c r="C101" t="s">
        <v>1002</v>
      </c>
      <c r="D101" t="s">
        <v>31</v>
      </c>
      <c r="F101" t="s">
        <v>32</v>
      </c>
      <c r="G101" s="1">
        <v>27760</v>
      </c>
      <c r="H101" t="s">
        <v>33</v>
      </c>
      <c r="I101" t="s">
        <v>1003</v>
      </c>
      <c r="J101" t="s">
        <v>1003</v>
      </c>
      <c r="M101" t="s">
        <v>59</v>
      </c>
      <c r="N101" t="s">
        <v>1004</v>
      </c>
      <c r="P101" t="s">
        <v>1005</v>
      </c>
      <c r="X101">
        <v>1938230</v>
      </c>
      <c r="Y101" t="s">
        <v>1006</v>
      </c>
      <c r="Z101" t="s">
        <v>1007</v>
      </c>
      <c r="AA101" t="s">
        <v>821</v>
      </c>
    </row>
    <row r="102" spans="1:28" x14ac:dyDescent="0.2">
      <c r="A102" t="s">
        <v>1008</v>
      </c>
      <c r="B102" t="s">
        <v>1009</v>
      </c>
      <c r="C102" t="s">
        <v>1010</v>
      </c>
      <c r="D102" t="s">
        <v>31</v>
      </c>
      <c r="F102" t="s">
        <v>32</v>
      </c>
      <c r="G102" s="1">
        <v>43831</v>
      </c>
      <c r="H102" t="s">
        <v>67</v>
      </c>
      <c r="I102" t="s">
        <v>1011</v>
      </c>
      <c r="J102" t="s">
        <v>1012</v>
      </c>
      <c r="K102" t="s">
        <v>1013</v>
      </c>
      <c r="N102" t="s">
        <v>1014</v>
      </c>
      <c r="P102" t="s">
        <v>1015</v>
      </c>
      <c r="X102">
        <v>1938571</v>
      </c>
      <c r="Y102" t="s">
        <v>1016</v>
      </c>
      <c r="Z102" t="s">
        <v>1017</v>
      </c>
      <c r="AA102" t="s">
        <v>830</v>
      </c>
    </row>
    <row r="103" spans="1:28" x14ac:dyDescent="0.2">
      <c r="A103" t="s">
        <v>1018</v>
      </c>
      <c r="B103" t="s">
        <v>1019</v>
      </c>
      <c r="C103" t="s">
        <v>1020</v>
      </c>
      <c r="D103" t="s">
        <v>31</v>
      </c>
      <c r="F103" t="s">
        <v>32</v>
      </c>
      <c r="G103" s="1">
        <v>42005</v>
      </c>
      <c r="H103" t="s">
        <v>91</v>
      </c>
      <c r="I103" t="s">
        <v>1021</v>
      </c>
      <c r="J103" t="s">
        <v>1021</v>
      </c>
      <c r="K103" t="s">
        <v>1022</v>
      </c>
      <c r="L103" t="s">
        <v>59</v>
      </c>
      <c r="N103" t="s">
        <v>1023</v>
      </c>
      <c r="O103" t="s">
        <v>1024</v>
      </c>
      <c r="P103" t="s">
        <v>1025</v>
      </c>
      <c r="X103">
        <v>1938681</v>
      </c>
      <c r="Y103" t="s">
        <v>1026</v>
      </c>
      <c r="Z103" t="s">
        <v>1027</v>
      </c>
      <c r="AA103" t="s">
        <v>1028</v>
      </c>
    </row>
    <row r="104" spans="1:28" x14ac:dyDescent="0.2">
      <c r="A104" t="s">
        <v>1029</v>
      </c>
      <c r="B104" t="s">
        <v>1030</v>
      </c>
      <c r="C104" t="s">
        <v>1031</v>
      </c>
      <c r="D104" t="s">
        <v>31</v>
      </c>
      <c r="F104" t="s">
        <v>32</v>
      </c>
      <c r="G104" s="1">
        <v>35065</v>
      </c>
      <c r="H104" t="s">
        <v>33</v>
      </c>
      <c r="I104" t="s">
        <v>1032</v>
      </c>
      <c r="J104" t="s">
        <v>1032</v>
      </c>
      <c r="K104" t="s">
        <v>1033</v>
      </c>
      <c r="N104" t="s">
        <v>1034</v>
      </c>
      <c r="O104" t="s">
        <v>1035</v>
      </c>
      <c r="P104">
        <f>44-1926-482-511</f>
        <v>-2875</v>
      </c>
      <c r="X104">
        <v>1939024</v>
      </c>
      <c r="Y104" t="s">
        <v>1036</v>
      </c>
      <c r="Z104" t="s">
        <v>1037</v>
      </c>
      <c r="AA104" t="s">
        <v>888</v>
      </c>
      <c r="AB104" t="s">
        <v>1038</v>
      </c>
    </row>
    <row r="105" spans="1:28" x14ac:dyDescent="0.2">
      <c r="A105" t="s">
        <v>1039</v>
      </c>
      <c r="B105" t="s">
        <v>1040</v>
      </c>
      <c r="C105" t="s">
        <v>1041</v>
      </c>
      <c r="D105" t="s">
        <v>31</v>
      </c>
      <c r="F105" t="s">
        <v>32</v>
      </c>
      <c r="G105" s="1">
        <v>37622</v>
      </c>
      <c r="H105" t="s">
        <v>67</v>
      </c>
      <c r="I105" t="s">
        <v>1042</v>
      </c>
      <c r="J105" t="s">
        <v>1042</v>
      </c>
      <c r="K105" t="s">
        <v>1043</v>
      </c>
      <c r="N105" t="s">
        <v>1044</v>
      </c>
      <c r="O105" t="s">
        <v>1045</v>
      </c>
      <c r="P105" t="s">
        <v>1046</v>
      </c>
      <c r="X105">
        <v>1939035</v>
      </c>
      <c r="Y105" t="s">
        <v>1047</v>
      </c>
      <c r="Z105" t="s">
        <v>1048</v>
      </c>
      <c r="AA105" t="s">
        <v>821</v>
      </c>
    </row>
    <row r="106" spans="1:28" x14ac:dyDescent="0.2">
      <c r="A106" t="s">
        <v>1049</v>
      </c>
      <c r="B106" t="s">
        <v>1050</v>
      </c>
      <c r="C106" t="s">
        <v>1051</v>
      </c>
      <c r="D106" t="s">
        <v>31</v>
      </c>
      <c r="F106" t="s">
        <v>32</v>
      </c>
      <c r="G106" s="1">
        <v>22647</v>
      </c>
      <c r="H106" t="s">
        <v>33</v>
      </c>
      <c r="I106" t="s">
        <v>1052</v>
      </c>
      <c r="J106" t="s">
        <v>1053</v>
      </c>
      <c r="K106" t="s">
        <v>1054</v>
      </c>
      <c r="N106" t="s">
        <v>1055</v>
      </c>
      <c r="O106" t="s">
        <v>1056</v>
      </c>
      <c r="P106" t="s">
        <v>1057</v>
      </c>
      <c r="X106">
        <v>1939045</v>
      </c>
      <c r="Y106" t="s">
        <v>1058</v>
      </c>
      <c r="Z106" t="s">
        <v>1007</v>
      </c>
      <c r="AA106" t="s">
        <v>821</v>
      </c>
    </row>
    <row r="107" spans="1:28" x14ac:dyDescent="0.2">
      <c r="A107" t="s">
        <v>1059</v>
      </c>
      <c r="B107" t="s">
        <v>1060</v>
      </c>
      <c r="C107" t="s">
        <v>1061</v>
      </c>
      <c r="D107" t="s">
        <v>31</v>
      </c>
      <c r="F107" t="s">
        <v>32</v>
      </c>
      <c r="G107" s="1">
        <v>32874</v>
      </c>
      <c r="H107" t="s">
        <v>67</v>
      </c>
      <c r="I107" t="s">
        <v>1062</v>
      </c>
      <c r="J107" t="s">
        <v>1062</v>
      </c>
      <c r="M107" t="s">
        <v>59</v>
      </c>
      <c r="N107" t="s">
        <v>1063</v>
      </c>
      <c r="O107" t="s">
        <v>1064</v>
      </c>
      <c r="P107" t="s">
        <v>1065</v>
      </c>
      <c r="Q107" t="s">
        <v>1066</v>
      </c>
      <c r="X107">
        <v>1939223</v>
      </c>
      <c r="Y107" t="s">
        <v>1067</v>
      </c>
      <c r="Z107" t="s">
        <v>1068</v>
      </c>
      <c r="AA107" t="s">
        <v>1069</v>
      </c>
    </row>
    <row r="108" spans="1:28" x14ac:dyDescent="0.2">
      <c r="A108" t="s">
        <v>1070</v>
      </c>
      <c r="B108" t="s">
        <v>1071</v>
      </c>
      <c r="C108" t="s">
        <v>1072</v>
      </c>
      <c r="D108" t="s">
        <v>31</v>
      </c>
      <c r="F108" t="s">
        <v>32</v>
      </c>
      <c r="H108" t="s">
        <v>33</v>
      </c>
      <c r="I108" t="s">
        <v>1073</v>
      </c>
      <c r="J108" t="s">
        <v>1074</v>
      </c>
      <c r="K108" t="s">
        <v>1075</v>
      </c>
      <c r="M108" t="s">
        <v>59</v>
      </c>
      <c r="N108" t="s">
        <v>1076</v>
      </c>
      <c r="O108" t="s">
        <v>1077</v>
      </c>
      <c r="P108" t="s">
        <v>1078</v>
      </c>
      <c r="X108">
        <v>1939317</v>
      </c>
      <c r="Y108" t="s">
        <v>431</v>
      </c>
      <c r="Z108" t="s">
        <v>1079</v>
      </c>
      <c r="AA108" t="s">
        <v>863</v>
      </c>
    </row>
    <row r="109" spans="1:28" x14ac:dyDescent="0.2">
      <c r="A109" t="s">
        <v>1080</v>
      </c>
      <c r="B109" t="s">
        <v>1081</v>
      </c>
      <c r="C109" t="s">
        <v>1082</v>
      </c>
      <c r="D109" t="s">
        <v>31</v>
      </c>
      <c r="F109" t="s">
        <v>32</v>
      </c>
      <c r="G109" s="1">
        <v>40179</v>
      </c>
      <c r="H109" t="s">
        <v>33</v>
      </c>
      <c r="I109" t="s">
        <v>1083</v>
      </c>
      <c r="J109" t="s">
        <v>1083</v>
      </c>
      <c r="K109" t="s">
        <v>1084</v>
      </c>
      <c r="N109" t="s">
        <v>1085</v>
      </c>
      <c r="O109" t="s">
        <v>1086</v>
      </c>
      <c r="P109">
        <f>7-495-481-2262</f>
        <v>-3231</v>
      </c>
      <c r="X109">
        <v>1939496</v>
      </c>
      <c r="Y109" t="s">
        <v>150</v>
      </c>
      <c r="Z109" t="s">
        <v>1087</v>
      </c>
      <c r="AA109" t="s">
        <v>1088</v>
      </c>
    </row>
    <row r="110" spans="1:28" x14ac:dyDescent="0.2">
      <c r="A110" t="s">
        <v>1089</v>
      </c>
      <c r="B110" t="s">
        <v>1090</v>
      </c>
      <c r="C110" t="s">
        <v>1091</v>
      </c>
      <c r="D110" t="s">
        <v>31</v>
      </c>
      <c r="F110" t="s">
        <v>32</v>
      </c>
      <c r="G110" s="1">
        <v>40544</v>
      </c>
      <c r="H110" t="s">
        <v>33</v>
      </c>
      <c r="I110" t="s">
        <v>1092</v>
      </c>
      <c r="J110" t="s">
        <v>1092</v>
      </c>
      <c r="K110" t="s">
        <v>1093</v>
      </c>
      <c r="M110" t="s">
        <v>59</v>
      </c>
      <c r="N110" t="s">
        <v>1094</v>
      </c>
      <c r="O110" t="s">
        <v>1095</v>
      </c>
      <c r="X110">
        <v>1939610</v>
      </c>
      <c r="Y110" t="s">
        <v>1096</v>
      </c>
      <c r="Z110" t="s">
        <v>1097</v>
      </c>
      <c r="AA110" t="s">
        <v>888</v>
      </c>
    </row>
    <row r="111" spans="1:28" x14ac:dyDescent="0.2">
      <c r="A111" t="s">
        <v>1098</v>
      </c>
      <c r="B111" t="s">
        <v>1099</v>
      </c>
      <c r="C111" t="s">
        <v>1100</v>
      </c>
      <c r="D111" t="s">
        <v>31</v>
      </c>
      <c r="F111" t="s">
        <v>32</v>
      </c>
      <c r="H111" t="s">
        <v>33</v>
      </c>
      <c r="I111" t="s">
        <v>1101</v>
      </c>
      <c r="J111" t="s">
        <v>1101</v>
      </c>
      <c r="N111" t="s">
        <v>1102</v>
      </c>
      <c r="O111" t="s">
        <v>1103</v>
      </c>
      <c r="P111">
        <f>44-208-642-4413</f>
        <v>-5219</v>
      </c>
      <c r="X111">
        <v>1939639</v>
      </c>
      <c r="Y111" t="s">
        <v>1104</v>
      </c>
      <c r="Z111" t="s">
        <v>1105</v>
      </c>
      <c r="AA111" t="s">
        <v>888</v>
      </c>
    </row>
    <row r="112" spans="1:28" x14ac:dyDescent="0.2">
      <c r="A112" t="s">
        <v>1106</v>
      </c>
      <c r="B112" t="s">
        <v>1107</v>
      </c>
      <c r="C112" t="s">
        <v>1108</v>
      </c>
      <c r="D112" t="s">
        <v>31</v>
      </c>
      <c r="F112" t="s">
        <v>32</v>
      </c>
      <c r="G112" s="1">
        <v>40179</v>
      </c>
      <c r="H112" t="s">
        <v>67</v>
      </c>
      <c r="I112" t="s">
        <v>1109</v>
      </c>
      <c r="J112" t="s">
        <v>1109</v>
      </c>
      <c r="K112" t="s">
        <v>1110</v>
      </c>
      <c r="N112" t="s">
        <v>1111</v>
      </c>
      <c r="O112" t="s">
        <v>1112</v>
      </c>
      <c r="P112" t="s">
        <v>1113</v>
      </c>
      <c r="X112">
        <v>1939810</v>
      </c>
      <c r="Y112" t="s">
        <v>1114</v>
      </c>
      <c r="Z112" t="s">
        <v>1115</v>
      </c>
      <c r="AA112" t="s">
        <v>852</v>
      </c>
      <c r="AB112" t="s">
        <v>678</v>
      </c>
    </row>
    <row r="113" spans="1:28" x14ac:dyDescent="0.2">
      <c r="A113" t="s">
        <v>1116</v>
      </c>
      <c r="B113" t="s">
        <v>1117</v>
      </c>
      <c r="C113" t="s">
        <v>1118</v>
      </c>
      <c r="D113" t="s">
        <v>31</v>
      </c>
      <c r="F113" t="s">
        <v>32</v>
      </c>
      <c r="G113" s="1">
        <v>39881</v>
      </c>
      <c r="H113" t="s">
        <v>67</v>
      </c>
      <c r="I113" t="s">
        <v>1119</v>
      </c>
      <c r="J113" t="s">
        <v>1119</v>
      </c>
      <c r="K113" t="s">
        <v>1120</v>
      </c>
      <c r="M113" t="s">
        <v>59</v>
      </c>
      <c r="N113" t="s">
        <v>1121</v>
      </c>
      <c r="P113" t="s">
        <v>1122</v>
      </c>
      <c r="X113">
        <v>1939966</v>
      </c>
      <c r="Y113" t="s">
        <v>1123</v>
      </c>
      <c r="Z113" t="s">
        <v>1124</v>
      </c>
      <c r="AA113" t="s">
        <v>1125</v>
      </c>
    </row>
    <row r="114" spans="1:28" x14ac:dyDescent="0.2">
      <c r="A114" t="s">
        <v>1126</v>
      </c>
      <c r="B114" t="s">
        <v>1127</v>
      </c>
      <c r="C114" t="s">
        <v>1128</v>
      </c>
      <c r="D114" t="s">
        <v>31</v>
      </c>
      <c r="F114" t="s">
        <v>32</v>
      </c>
      <c r="G114" s="1">
        <v>24473</v>
      </c>
      <c r="H114" t="s">
        <v>91</v>
      </c>
      <c r="I114" t="s">
        <v>1129</v>
      </c>
      <c r="J114" t="s">
        <v>1130</v>
      </c>
      <c r="K114" t="s">
        <v>1131</v>
      </c>
      <c r="L114" t="s">
        <v>59</v>
      </c>
      <c r="N114" t="s">
        <v>1132</v>
      </c>
      <c r="O114" t="s">
        <v>1133</v>
      </c>
      <c r="P114" t="s">
        <v>1134</v>
      </c>
      <c r="Q114" t="s">
        <v>1135</v>
      </c>
      <c r="X114">
        <v>1940030</v>
      </c>
      <c r="Y114" t="s">
        <v>1136</v>
      </c>
      <c r="Z114" t="s">
        <v>1137</v>
      </c>
      <c r="AA114" t="s">
        <v>888</v>
      </c>
      <c r="AB114" t="s">
        <v>241</v>
      </c>
    </row>
    <row r="115" spans="1:28" x14ac:dyDescent="0.2">
      <c r="A115" t="s">
        <v>1138</v>
      </c>
      <c r="B115" t="s">
        <v>1139</v>
      </c>
      <c r="C115" t="s">
        <v>1140</v>
      </c>
      <c r="D115" t="s">
        <v>31</v>
      </c>
      <c r="F115" t="s">
        <v>32</v>
      </c>
      <c r="G115" s="1">
        <v>35431</v>
      </c>
      <c r="H115" t="s">
        <v>33</v>
      </c>
      <c r="I115" t="s">
        <v>1141</v>
      </c>
      <c r="J115" t="s">
        <v>1141</v>
      </c>
      <c r="K115" t="s">
        <v>1142</v>
      </c>
      <c r="L115" t="s">
        <v>59</v>
      </c>
      <c r="N115" t="s">
        <v>1143</v>
      </c>
      <c r="O115" t="s">
        <v>1144</v>
      </c>
      <c r="P115" t="s">
        <v>1145</v>
      </c>
      <c r="X115">
        <v>1940055</v>
      </c>
      <c r="Y115" t="s">
        <v>1146</v>
      </c>
      <c r="Z115" t="s">
        <v>1147</v>
      </c>
      <c r="AA115" t="s">
        <v>1125</v>
      </c>
    </row>
    <row r="116" spans="1:28" x14ac:dyDescent="0.2">
      <c r="A116" t="s">
        <v>1148</v>
      </c>
      <c r="B116" t="s">
        <v>1149</v>
      </c>
      <c r="C116" t="s">
        <v>1150</v>
      </c>
      <c r="D116" t="s">
        <v>31</v>
      </c>
      <c r="F116" t="s">
        <v>32</v>
      </c>
      <c r="G116" s="1">
        <v>32143</v>
      </c>
      <c r="H116" t="s">
        <v>33</v>
      </c>
      <c r="I116" t="s">
        <v>1151</v>
      </c>
      <c r="J116" t="s">
        <v>1151</v>
      </c>
      <c r="K116" t="s">
        <v>1152</v>
      </c>
      <c r="N116" t="s">
        <v>1153</v>
      </c>
      <c r="P116">
        <f>1-530-865-3508</f>
        <v>-4902</v>
      </c>
      <c r="X116">
        <v>1940108</v>
      </c>
      <c r="Y116" t="s">
        <v>1154</v>
      </c>
      <c r="Z116" t="s">
        <v>1155</v>
      </c>
      <c r="AA116" t="s">
        <v>821</v>
      </c>
      <c r="AB116" t="s">
        <v>160</v>
      </c>
    </row>
    <row r="117" spans="1:28" x14ac:dyDescent="0.2">
      <c r="A117" t="s">
        <v>1156</v>
      </c>
      <c r="B117" t="s">
        <v>1157</v>
      </c>
      <c r="C117" t="s">
        <v>1158</v>
      </c>
      <c r="D117" t="s">
        <v>31</v>
      </c>
      <c r="F117" t="s">
        <v>32</v>
      </c>
      <c r="G117" s="1">
        <v>42736</v>
      </c>
      <c r="H117" t="s">
        <v>33</v>
      </c>
      <c r="I117" t="s">
        <v>1159</v>
      </c>
      <c r="J117" t="s">
        <v>1159</v>
      </c>
      <c r="K117" t="s">
        <v>1160</v>
      </c>
      <c r="L117" t="s">
        <v>59</v>
      </c>
      <c r="M117" t="s">
        <v>59</v>
      </c>
      <c r="N117" t="s">
        <v>1161</v>
      </c>
      <c r="O117" t="s">
        <v>1162</v>
      </c>
      <c r="P117">
        <f>1-916-824-1366</f>
        <v>-3105</v>
      </c>
      <c r="X117">
        <v>1940189</v>
      </c>
      <c r="Y117" t="s">
        <v>1163</v>
      </c>
      <c r="Z117" t="s">
        <v>1164</v>
      </c>
      <c r="AA117" t="s">
        <v>821</v>
      </c>
    </row>
    <row r="118" spans="1:28" x14ac:dyDescent="0.2">
      <c r="A118" t="s">
        <v>1165</v>
      </c>
      <c r="B118" t="s">
        <v>1166</v>
      </c>
      <c r="C118" t="s">
        <v>1167</v>
      </c>
      <c r="D118" t="s">
        <v>31</v>
      </c>
      <c r="F118" t="s">
        <v>32</v>
      </c>
      <c r="G118" s="1">
        <v>42736</v>
      </c>
      <c r="H118" t="s">
        <v>33</v>
      </c>
      <c r="I118" t="s">
        <v>1168</v>
      </c>
      <c r="J118" t="s">
        <v>1168</v>
      </c>
      <c r="K118" t="s">
        <v>1169</v>
      </c>
      <c r="M118" t="s">
        <v>59</v>
      </c>
      <c r="N118" t="s">
        <v>1170</v>
      </c>
      <c r="O118" t="s">
        <v>1171</v>
      </c>
      <c r="P118" t="s">
        <v>1172</v>
      </c>
      <c r="X118">
        <v>1940238</v>
      </c>
      <c r="Y118" t="s">
        <v>1173</v>
      </c>
      <c r="Z118" t="s">
        <v>1027</v>
      </c>
      <c r="AA118" t="s">
        <v>1028</v>
      </c>
      <c r="AB118" t="s">
        <v>221</v>
      </c>
    </row>
    <row r="119" spans="1:28" x14ac:dyDescent="0.2">
      <c r="A119" t="s">
        <v>1174</v>
      </c>
      <c r="B119" t="s">
        <v>1175</v>
      </c>
      <c r="C119" t="s">
        <v>1176</v>
      </c>
      <c r="D119" t="s">
        <v>31</v>
      </c>
      <c r="F119" t="s">
        <v>32</v>
      </c>
      <c r="G119" s="1">
        <v>40909</v>
      </c>
      <c r="H119" t="s">
        <v>33</v>
      </c>
      <c r="I119" t="s">
        <v>1177</v>
      </c>
      <c r="J119" t="s">
        <v>1178</v>
      </c>
      <c r="L119" t="s">
        <v>59</v>
      </c>
      <c r="N119" t="s">
        <v>1179</v>
      </c>
      <c r="O119" t="s">
        <v>1180</v>
      </c>
      <c r="P119" t="s">
        <v>1181</v>
      </c>
      <c r="X119">
        <v>1940321</v>
      </c>
      <c r="Y119" t="s">
        <v>1182</v>
      </c>
      <c r="Z119" t="s">
        <v>1183</v>
      </c>
      <c r="AA119" t="s">
        <v>821</v>
      </c>
    </row>
    <row r="120" spans="1:28" x14ac:dyDescent="0.2">
      <c r="A120" t="s">
        <v>1184</v>
      </c>
      <c r="B120" t="s">
        <v>1185</v>
      </c>
      <c r="C120" t="s">
        <v>1186</v>
      </c>
      <c r="D120" t="s">
        <v>31</v>
      </c>
      <c r="F120" t="s">
        <v>32</v>
      </c>
      <c r="H120" t="s">
        <v>33</v>
      </c>
      <c r="I120" t="s">
        <v>1187</v>
      </c>
      <c r="J120" t="s">
        <v>1188</v>
      </c>
      <c r="N120" t="s">
        <v>1189</v>
      </c>
      <c r="O120" t="s">
        <v>1190</v>
      </c>
      <c r="P120" t="s">
        <v>1191</v>
      </c>
      <c r="X120">
        <v>1940397</v>
      </c>
      <c r="Y120" t="s">
        <v>1192</v>
      </c>
      <c r="Z120" t="s">
        <v>1193</v>
      </c>
      <c r="AA120" t="s">
        <v>821</v>
      </c>
    </row>
    <row r="121" spans="1:28" x14ac:dyDescent="0.2">
      <c r="A121" t="s">
        <v>1194</v>
      </c>
      <c r="B121" t="s">
        <v>1195</v>
      </c>
      <c r="C121" t="s">
        <v>1196</v>
      </c>
      <c r="D121" t="s">
        <v>31</v>
      </c>
      <c r="F121" t="s">
        <v>32</v>
      </c>
      <c r="G121" s="1">
        <v>37012</v>
      </c>
      <c r="H121" t="s">
        <v>33</v>
      </c>
      <c r="I121" t="s">
        <v>1197</v>
      </c>
      <c r="J121" t="s">
        <v>1197</v>
      </c>
      <c r="K121" t="s">
        <v>1198</v>
      </c>
      <c r="N121" t="s">
        <v>1199</v>
      </c>
      <c r="O121" t="s">
        <v>1200</v>
      </c>
      <c r="P121" t="s">
        <v>1201</v>
      </c>
      <c r="X121">
        <v>1940551</v>
      </c>
      <c r="Y121" t="s">
        <v>1202</v>
      </c>
      <c r="Z121" t="s">
        <v>1203</v>
      </c>
      <c r="AA121" t="s">
        <v>1204</v>
      </c>
    </row>
    <row r="122" spans="1:28" x14ac:dyDescent="0.2">
      <c r="A122" t="s">
        <v>1205</v>
      </c>
      <c r="B122" t="s">
        <v>1206</v>
      </c>
      <c r="C122" t="s">
        <v>1207</v>
      </c>
      <c r="D122" t="s">
        <v>31</v>
      </c>
      <c r="F122" t="s">
        <v>32</v>
      </c>
      <c r="G122" s="1">
        <v>37987</v>
      </c>
      <c r="H122" t="s">
        <v>67</v>
      </c>
      <c r="I122" t="s">
        <v>1208</v>
      </c>
      <c r="J122" t="s">
        <v>1208</v>
      </c>
      <c r="K122" t="s">
        <v>1209</v>
      </c>
      <c r="M122" t="s">
        <v>59</v>
      </c>
      <c r="N122" t="s">
        <v>1210</v>
      </c>
      <c r="O122" t="s">
        <v>1211</v>
      </c>
      <c r="P122" t="s">
        <v>1212</v>
      </c>
      <c r="X122">
        <v>1940586</v>
      </c>
      <c r="Y122" t="s">
        <v>334</v>
      </c>
      <c r="Z122" t="s">
        <v>1213</v>
      </c>
      <c r="AA122" t="s">
        <v>1214</v>
      </c>
    </row>
    <row r="123" spans="1:28" x14ac:dyDescent="0.2">
      <c r="A123" t="s">
        <v>1215</v>
      </c>
      <c r="B123" t="s">
        <v>1216</v>
      </c>
      <c r="C123" t="s">
        <v>1217</v>
      </c>
      <c r="D123" t="s">
        <v>31</v>
      </c>
      <c r="F123" t="s">
        <v>32</v>
      </c>
      <c r="G123" s="1">
        <v>41640</v>
      </c>
      <c r="H123" t="s">
        <v>91</v>
      </c>
      <c r="I123" t="s">
        <v>1218</v>
      </c>
      <c r="J123" t="s">
        <v>1218</v>
      </c>
      <c r="K123" t="s">
        <v>1219</v>
      </c>
      <c r="L123" t="s">
        <v>59</v>
      </c>
      <c r="N123" t="s">
        <v>1220</v>
      </c>
      <c r="O123" t="s">
        <v>1221</v>
      </c>
      <c r="P123" t="s">
        <v>1222</v>
      </c>
      <c r="X123">
        <v>1940770</v>
      </c>
      <c r="Y123" t="s">
        <v>1223</v>
      </c>
      <c r="Z123" t="s">
        <v>1224</v>
      </c>
      <c r="AA123" t="s">
        <v>821</v>
      </c>
      <c r="AB123" t="s">
        <v>1225</v>
      </c>
    </row>
    <row r="124" spans="1:28" x14ac:dyDescent="0.2">
      <c r="A124" t="s">
        <v>1226</v>
      </c>
      <c r="B124" t="s">
        <v>1227</v>
      </c>
      <c r="C124" t="s">
        <v>1228</v>
      </c>
      <c r="D124" t="s">
        <v>31</v>
      </c>
      <c r="F124" t="s">
        <v>32</v>
      </c>
      <c r="G124" s="1">
        <v>44349</v>
      </c>
      <c r="H124" t="s">
        <v>33</v>
      </c>
      <c r="I124" t="s">
        <v>1229</v>
      </c>
      <c r="J124" t="s">
        <v>1230</v>
      </c>
      <c r="N124" t="s">
        <v>1231</v>
      </c>
      <c r="O124" t="s">
        <v>1232</v>
      </c>
      <c r="P124">
        <v>8615358069755</v>
      </c>
      <c r="X124">
        <v>1940842</v>
      </c>
      <c r="Y124" t="s">
        <v>1233</v>
      </c>
      <c r="Z124" t="s">
        <v>1234</v>
      </c>
      <c r="AA124" t="s">
        <v>1235</v>
      </c>
    </row>
    <row r="125" spans="1:28" x14ac:dyDescent="0.2">
      <c r="A125" t="s">
        <v>1236</v>
      </c>
      <c r="B125" t="s">
        <v>1237</v>
      </c>
      <c r="C125" t="s">
        <v>1238</v>
      </c>
      <c r="D125" t="s">
        <v>31</v>
      </c>
      <c r="F125" t="s">
        <v>32</v>
      </c>
      <c r="G125" s="1">
        <v>39448</v>
      </c>
      <c r="H125" t="s">
        <v>33</v>
      </c>
      <c r="I125" t="s">
        <v>1239</v>
      </c>
      <c r="J125" t="s">
        <v>1240</v>
      </c>
      <c r="K125" t="s">
        <v>1241</v>
      </c>
      <c r="L125" t="s">
        <v>59</v>
      </c>
      <c r="N125" t="s">
        <v>1242</v>
      </c>
      <c r="O125" t="s">
        <v>1243</v>
      </c>
      <c r="P125" t="s">
        <v>1244</v>
      </c>
      <c r="Q125" t="s">
        <v>1245</v>
      </c>
      <c r="X125">
        <v>1941045</v>
      </c>
      <c r="Y125" t="s">
        <v>1246</v>
      </c>
      <c r="Z125" t="s">
        <v>1247</v>
      </c>
      <c r="AA125" t="s">
        <v>888</v>
      </c>
    </row>
    <row r="126" spans="1:28" x14ac:dyDescent="0.2">
      <c r="A126" t="s">
        <v>1248</v>
      </c>
      <c r="B126" t="s">
        <v>1249</v>
      </c>
      <c r="C126" t="s">
        <v>1250</v>
      </c>
      <c r="D126" t="s">
        <v>31</v>
      </c>
      <c r="F126" t="s">
        <v>32</v>
      </c>
      <c r="H126" t="s">
        <v>33</v>
      </c>
      <c r="I126" t="s">
        <v>1251</v>
      </c>
      <c r="J126" t="s">
        <v>1251</v>
      </c>
      <c r="K126" t="s">
        <v>1252</v>
      </c>
      <c r="L126" t="s">
        <v>59</v>
      </c>
      <c r="M126" t="s">
        <v>59</v>
      </c>
      <c r="N126" t="s">
        <v>1253</v>
      </c>
      <c r="O126" t="s">
        <v>1254</v>
      </c>
      <c r="P126" t="s">
        <v>1255</v>
      </c>
      <c r="X126">
        <v>1941214</v>
      </c>
      <c r="Y126" t="s">
        <v>1256</v>
      </c>
      <c r="Z126" t="s">
        <v>1257</v>
      </c>
      <c r="AA126" t="s">
        <v>1258</v>
      </c>
    </row>
    <row r="127" spans="1:28" x14ac:dyDescent="0.2">
      <c r="A127" t="s">
        <v>1259</v>
      </c>
      <c r="B127" t="s">
        <v>1260</v>
      </c>
      <c r="C127" t="s">
        <v>1261</v>
      </c>
      <c r="D127" t="s">
        <v>31</v>
      </c>
      <c r="F127" t="s">
        <v>32</v>
      </c>
      <c r="G127" s="1">
        <v>39083</v>
      </c>
      <c r="H127" t="s">
        <v>67</v>
      </c>
      <c r="I127" t="s">
        <v>1262</v>
      </c>
      <c r="J127" t="s">
        <v>1262</v>
      </c>
      <c r="K127" t="s">
        <v>1263</v>
      </c>
      <c r="N127" t="s">
        <v>1264</v>
      </c>
      <c r="O127" t="s">
        <v>1265</v>
      </c>
      <c r="P127" t="s">
        <v>1266</v>
      </c>
      <c r="X127">
        <v>1941687</v>
      </c>
      <c r="Y127" t="s">
        <v>1267</v>
      </c>
      <c r="Z127" t="s">
        <v>1268</v>
      </c>
      <c r="AA127" t="s">
        <v>821</v>
      </c>
      <c r="AB127" t="s">
        <v>1269</v>
      </c>
    </row>
    <row r="128" spans="1:28" x14ac:dyDescent="0.2">
      <c r="A128" t="s">
        <v>1270</v>
      </c>
      <c r="B128" t="s">
        <v>1271</v>
      </c>
      <c r="C128" t="s">
        <v>1272</v>
      </c>
      <c r="D128" t="s">
        <v>31</v>
      </c>
      <c r="F128" t="s">
        <v>32</v>
      </c>
      <c r="G128" s="1">
        <v>39448</v>
      </c>
      <c r="H128" t="s">
        <v>33</v>
      </c>
      <c r="I128" t="s">
        <v>1273</v>
      </c>
      <c r="J128" t="s">
        <v>1273</v>
      </c>
      <c r="N128" t="s">
        <v>1274</v>
      </c>
      <c r="O128" t="s">
        <v>1275</v>
      </c>
      <c r="P128" t="s">
        <v>1276</v>
      </c>
      <c r="X128">
        <v>1941745</v>
      </c>
      <c r="Y128" t="s">
        <v>1277</v>
      </c>
      <c r="Z128" t="s">
        <v>1278</v>
      </c>
      <c r="AA128" t="s">
        <v>821</v>
      </c>
    </row>
    <row r="129" spans="1:28" x14ac:dyDescent="0.2">
      <c r="A129" t="s">
        <v>1279</v>
      </c>
      <c r="B129" t="s">
        <v>1280</v>
      </c>
      <c r="C129" t="s">
        <v>1281</v>
      </c>
      <c r="D129" t="s">
        <v>31</v>
      </c>
      <c r="F129" t="s">
        <v>32</v>
      </c>
      <c r="G129" s="1">
        <v>44197</v>
      </c>
      <c r="H129" t="s">
        <v>91</v>
      </c>
      <c r="I129" t="s">
        <v>1282</v>
      </c>
      <c r="J129" t="s">
        <v>1283</v>
      </c>
      <c r="K129" t="s">
        <v>1284</v>
      </c>
      <c r="L129" t="s">
        <v>59</v>
      </c>
      <c r="M129" t="s">
        <v>59</v>
      </c>
      <c r="N129" t="s">
        <v>1285</v>
      </c>
      <c r="O129" t="s">
        <v>1286</v>
      </c>
      <c r="P129" t="s">
        <v>1287</v>
      </c>
      <c r="Q129" t="s">
        <v>1288</v>
      </c>
      <c r="X129">
        <v>1941746</v>
      </c>
      <c r="Y129" t="s">
        <v>1289</v>
      </c>
      <c r="Z129" t="s">
        <v>1290</v>
      </c>
      <c r="AA129" t="s">
        <v>821</v>
      </c>
      <c r="AB129" t="s">
        <v>1291</v>
      </c>
    </row>
    <row r="130" spans="1:28" x14ac:dyDescent="0.2">
      <c r="A130" t="s">
        <v>1292</v>
      </c>
      <c r="B130" t="s">
        <v>1293</v>
      </c>
      <c r="C130" t="s">
        <v>1294</v>
      </c>
      <c r="D130" t="s">
        <v>31</v>
      </c>
      <c r="F130" t="s">
        <v>32</v>
      </c>
      <c r="G130" s="1">
        <v>40909</v>
      </c>
      <c r="H130" t="s">
        <v>67</v>
      </c>
      <c r="I130" t="s">
        <v>1295</v>
      </c>
      <c r="J130" t="s">
        <v>1295</v>
      </c>
      <c r="K130" t="s">
        <v>1296</v>
      </c>
      <c r="N130" t="s">
        <v>1297</v>
      </c>
      <c r="P130" t="s">
        <v>1298</v>
      </c>
      <c r="X130">
        <v>1941768</v>
      </c>
      <c r="Y130" t="s">
        <v>1299</v>
      </c>
      <c r="Z130" t="s">
        <v>1300</v>
      </c>
      <c r="AA130" t="s">
        <v>821</v>
      </c>
      <c r="AB130" t="s">
        <v>1038</v>
      </c>
    </row>
    <row r="131" spans="1:28" x14ac:dyDescent="0.2">
      <c r="A131" t="s">
        <v>1301</v>
      </c>
      <c r="B131" t="s">
        <v>1302</v>
      </c>
      <c r="C131" t="s">
        <v>1303</v>
      </c>
      <c r="D131" t="s">
        <v>31</v>
      </c>
      <c r="F131" t="s">
        <v>32</v>
      </c>
      <c r="G131" s="1">
        <v>37258</v>
      </c>
      <c r="H131" t="s">
        <v>91</v>
      </c>
      <c r="I131" t="s">
        <v>1304</v>
      </c>
      <c r="J131" t="s">
        <v>1305</v>
      </c>
      <c r="K131" t="s">
        <v>1306</v>
      </c>
      <c r="L131" t="s">
        <v>59</v>
      </c>
      <c r="M131" t="s">
        <v>59</v>
      </c>
      <c r="N131" t="s">
        <v>1307</v>
      </c>
      <c r="O131" t="s">
        <v>1308</v>
      </c>
      <c r="P131" t="s">
        <v>1309</v>
      </c>
      <c r="X131">
        <v>1941877</v>
      </c>
      <c r="Y131" t="s">
        <v>1310</v>
      </c>
      <c r="Z131" t="s">
        <v>1311</v>
      </c>
      <c r="AA131" t="s">
        <v>1258</v>
      </c>
    </row>
    <row r="132" spans="1:28" x14ac:dyDescent="0.2">
      <c r="A132" t="s">
        <v>1312</v>
      </c>
      <c r="B132" t="s">
        <v>1313</v>
      </c>
      <c r="C132" t="s">
        <v>1314</v>
      </c>
      <c r="D132" t="s">
        <v>31</v>
      </c>
      <c r="F132" t="s">
        <v>32</v>
      </c>
      <c r="G132" s="1">
        <v>41275</v>
      </c>
      <c r="H132" t="s">
        <v>67</v>
      </c>
      <c r="I132" t="s">
        <v>1315</v>
      </c>
      <c r="J132" t="s">
        <v>1315</v>
      </c>
      <c r="K132" t="s">
        <v>1316</v>
      </c>
      <c r="L132" t="s">
        <v>59</v>
      </c>
      <c r="N132" t="s">
        <v>1317</v>
      </c>
      <c r="O132" t="s">
        <v>1318</v>
      </c>
      <c r="P132" t="s">
        <v>1319</v>
      </c>
      <c r="X132">
        <v>1942119</v>
      </c>
      <c r="Y132" t="s">
        <v>1320</v>
      </c>
      <c r="Z132" t="s">
        <v>1321</v>
      </c>
      <c r="AA132" t="s">
        <v>821</v>
      </c>
    </row>
    <row r="133" spans="1:28" x14ac:dyDescent="0.2">
      <c r="A133" t="s">
        <v>1322</v>
      </c>
      <c r="B133" t="s">
        <v>1323</v>
      </c>
      <c r="C133" t="s">
        <v>1324</v>
      </c>
      <c r="D133" t="s">
        <v>31</v>
      </c>
      <c r="F133" t="s">
        <v>32</v>
      </c>
      <c r="G133" s="1">
        <v>38718</v>
      </c>
      <c r="H133" t="s">
        <v>33</v>
      </c>
      <c r="I133" t="s">
        <v>1325</v>
      </c>
      <c r="J133" t="s">
        <v>1325</v>
      </c>
      <c r="K133" t="s">
        <v>1326</v>
      </c>
      <c r="N133" t="s">
        <v>1327</v>
      </c>
      <c r="O133" t="s">
        <v>1328</v>
      </c>
      <c r="P133">
        <f>49-305-2135-4870</f>
        <v>-7261</v>
      </c>
      <c r="X133">
        <v>1950846</v>
      </c>
      <c r="Y133" t="s">
        <v>1173</v>
      </c>
      <c r="Z133" t="s">
        <v>1329</v>
      </c>
      <c r="AA133" t="s">
        <v>42</v>
      </c>
      <c r="AB133" t="s">
        <v>1330</v>
      </c>
    </row>
    <row r="134" spans="1:28" x14ac:dyDescent="0.2">
      <c r="A134" t="s">
        <v>1331</v>
      </c>
      <c r="B134" t="s">
        <v>1332</v>
      </c>
      <c r="C134" t="s">
        <v>1333</v>
      </c>
      <c r="D134" t="s">
        <v>31</v>
      </c>
      <c r="F134" t="s">
        <v>32</v>
      </c>
      <c r="G134" s="1">
        <v>30682</v>
      </c>
      <c r="H134" t="s">
        <v>67</v>
      </c>
      <c r="I134" t="s">
        <v>1334</v>
      </c>
      <c r="J134" t="s">
        <v>1334</v>
      </c>
      <c r="K134" t="s">
        <v>1335</v>
      </c>
      <c r="L134" t="s">
        <v>59</v>
      </c>
      <c r="N134" t="s">
        <v>1336</v>
      </c>
      <c r="O134" t="s">
        <v>1337</v>
      </c>
      <c r="P134" t="s">
        <v>1338</v>
      </c>
      <c r="X134">
        <v>2067493</v>
      </c>
      <c r="Y134" t="s">
        <v>150</v>
      </c>
      <c r="Z134" t="s">
        <v>1329</v>
      </c>
      <c r="AA134" t="s">
        <v>42</v>
      </c>
    </row>
    <row r="135" spans="1:28" x14ac:dyDescent="0.2">
      <c r="A135" t="s">
        <v>1339</v>
      </c>
      <c r="B135" t="s">
        <v>1340</v>
      </c>
      <c r="C135" t="s">
        <v>1341</v>
      </c>
      <c r="D135" t="s">
        <v>31</v>
      </c>
      <c r="F135" t="s">
        <v>32</v>
      </c>
      <c r="G135" s="1">
        <v>20090</v>
      </c>
      <c r="H135" t="s">
        <v>33</v>
      </c>
      <c r="I135" t="s">
        <v>1342</v>
      </c>
      <c r="J135" t="s">
        <v>1343</v>
      </c>
      <c r="K135" t="s">
        <v>1344</v>
      </c>
      <c r="L135" t="s">
        <v>59</v>
      </c>
      <c r="M135" t="s">
        <v>59</v>
      </c>
      <c r="N135" t="s">
        <v>1345</v>
      </c>
      <c r="P135" t="s">
        <v>1346</v>
      </c>
      <c r="X135">
        <v>2203550</v>
      </c>
      <c r="Y135" t="s">
        <v>1347</v>
      </c>
      <c r="Z135" t="s">
        <v>1329</v>
      </c>
      <c r="AA135" t="s">
        <v>42</v>
      </c>
    </row>
    <row r="136" spans="1:28" x14ac:dyDescent="0.2">
      <c r="A136" t="s">
        <v>1348</v>
      </c>
      <c r="B136" t="s">
        <v>1349</v>
      </c>
      <c r="C136" t="s">
        <v>1350</v>
      </c>
      <c r="D136" t="s">
        <v>31</v>
      </c>
      <c r="F136" t="s">
        <v>32</v>
      </c>
      <c r="G136" s="1">
        <v>40179</v>
      </c>
      <c r="H136" t="s">
        <v>91</v>
      </c>
      <c r="I136" t="s">
        <v>1351</v>
      </c>
      <c r="J136" t="s">
        <v>1351</v>
      </c>
      <c r="K136" t="s">
        <v>1352</v>
      </c>
      <c r="N136" t="s">
        <v>1353</v>
      </c>
      <c r="O136" t="s">
        <v>1354</v>
      </c>
      <c r="P136">
        <f>49-30-58-58-27-810</f>
        <v>-934</v>
      </c>
      <c r="X136">
        <v>2286304</v>
      </c>
      <c r="Y136" t="s">
        <v>1355</v>
      </c>
      <c r="Z136" t="s">
        <v>1329</v>
      </c>
      <c r="AA136" t="s">
        <v>42</v>
      </c>
      <c r="AB136" t="s">
        <v>221</v>
      </c>
    </row>
    <row r="137" spans="1:28" x14ac:dyDescent="0.2">
      <c r="A137" t="s">
        <v>1356</v>
      </c>
      <c r="B137" t="s">
        <v>1357</v>
      </c>
      <c r="C137" t="s">
        <v>1358</v>
      </c>
      <c r="D137" t="s">
        <v>31</v>
      </c>
      <c r="F137" t="s">
        <v>32</v>
      </c>
      <c r="G137" s="1">
        <v>44197</v>
      </c>
      <c r="H137" t="s">
        <v>67</v>
      </c>
      <c r="I137" t="s">
        <v>1359</v>
      </c>
      <c r="J137" t="s">
        <v>1359</v>
      </c>
      <c r="K137" t="s">
        <v>1360</v>
      </c>
      <c r="N137" t="s">
        <v>1361</v>
      </c>
      <c r="O137" t="s">
        <v>1362</v>
      </c>
      <c r="X137">
        <v>2386270</v>
      </c>
      <c r="Y137" t="s">
        <v>279</v>
      </c>
      <c r="Z137" t="s">
        <v>1329</v>
      </c>
      <c r="AA137" t="s">
        <v>42</v>
      </c>
    </row>
    <row r="138" spans="1:28" x14ac:dyDescent="0.2">
      <c r="A138" t="s">
        <v>1363</v>
      </c>
      <c r="B138" t="s">
        <v>1364</v>
      </c>
      <c r="C138" t="s">
        <v>1365</v>
      </c>
      <c r="D138" t="s">
        <v>31</v>
      </c>
      <c r="F138" t="s">
        <v>32</v>
      </c>
      <c r="H138" t="s">
        <v>33</v>
      </c>
      <c r="I138" t="s">
        <v>1366</v>
      </c>
      <c r="J138" t="s">
        <v>1366</v>
      </c>
      <c r="N138" t="s">
        <v>1367</v>
      </c>
      <c r="O138" t="s">
        <v>1368</v>
      </c>
      <c r="P138" t="s">
        <v>1369</v>
      </c>
      <c r="X138">
        <v>2458820</v>
      </c>
      <c r="Y138" t="s">
        <v>1370</v>
      </c>
      <c r="Z138" t="s">
        <v>1329</v>
      </c>
      <c r="AA138" t="s">
        <v>42</v>
      </c>
    </row>
    <row r="139" spans="1:28" x14ac:dyDescent="0.2">
      <c r="A139" t="s">
        <v>1371</v>
      </c>
      <c r="B139" t="s">
        <v>1372</v>
      </c>
      <c r="C139" t="s">
        <v>1373</v>
      </c>
      <c r="D139" t="s">
        <v>31</v>
      </c>
      <c r="F139" t="s">
        <v>32</v>
      </c>
      <c r="G139" s="1">
        <v>37622</v>
      </c>
      <c r="H139" t="s">
        <v>67</v>
      </c>
      <c r="I139" t="s">
        <v>1374</v>
      </c>
      <c r="J139" t="s">
        <v>1374</v>
      </c>
      <c r="N139" t="s">
        <v>1375</v>
      </c>
      <c r="O139" t="s">
        <v>1376</v>
      </c>
      <c r="P139" t="s">
        <v>1377</v>
      </c>
      <c r="X139">
        <v>2481159</v>
      </c>
      <c r="Y139" t="s">
        <v>1378</v>
      </c>
      <c r="Z139" t="s">
        <v>1329</v>
      </c>
      <c r="AA139" t="s">
        <v>42</v>
      </c>
    </row>
    <row r="140" spans="1:28" x14ac:dyDescent="0.2">
      <c r="A140" t="s">
        <v>1379</v>
      </c>
      <c r="B140" t="s">
        <v>1380</v>
      </c>
      <c r="C140" t="s">
        <v>1381</v>
      </c>
      <c r="D140" t="s">
        <v>31</v>
      </c>
      <c r="F140" t="s">
        <v>32</v>
      </c>
      <c r="G140" s="1">
        <v>3654</v>
      </c>
      <c r="H140" t="s">
        <v>33</v>
      </c>
      <c r="I140" t="s">
        <v>1382</v>
      </c>
      <c r="J140" t="s">
        <v>1382</v>
      </c>
      <c r="K140" t="s">
        <v>1383</v>
      </c>
      <c r="M140" t="s">
        <v>59</v>
      </c>
      <c r="N140" t="s">
        <v>1384</v>
      </c>
      <c r="O140" t="s">
        <v>1385</v>
      </c>
      <c r="P140" t="s">
        <v>1386</v>
      </c>
      <c r="X140">
        <v>2569892</v>
      </c>
      <c r="Y140" t="s">
        <v>431</v>
      </c>
      <c r="Z140" t="s">
        <v>1329</v>
      </c>
      <c r="AA140" t="s">
        <v>42</v>
      </c>
    </row>
    <row r="141" spans="1:28" x14ac:dyDescent="0.2">
      <c r="A141" t="s">
        <v>1387</v>
      </c>
      <c r="B141" t="s">
        <v>1388</v>
      </c>
      <c r="C141" t="s">
        <v>1389</v>
      </c>
      <c r="D141" t="s">
        <v>31</v>
      </c>
      <c r="F141" t="s">
        <v>32</v>
      </c>
      <c r="G141" s="1">
        <v>43101</v>
      </c>
      <c r="H141" t="s">
        <v>91</v>
      </c>
      <c r="I141" t="s">
        <v>1390</v>
      </c>
      <c r="J141" t="s">
        <v>1391</v>
      </c>
      <c r="K141" t="s">
        <v>1392</v>
      </c>
      <c r="L141" t="s">
        <v>59</v>
      </c>
      <c r="M141" t="s">
        <v>59</v>
      </c>
      <c r="N141" t="s">
        <v>1393</v>
      </c>
      <c r="X141">
        <v>2702930</v>
      </c>
      <c r="Y141" t="s">
        <v>1394</v>
      </c>
      <c r="Z141" t="s">
        <v>1329</v>
      </c>
      <c r="AA141" t="s">
        <v>42</v>
      </c>
    </row>
    <row r="142" spans="1:28" x14ac:dyDescent="0.2">
      <c r="A142" t="s">
        <v>1395</v>
      </c>
      <c r="B142" t="s">
        <v>1396</v>
      </c>
      <c r="C142" t="s">
        <v>1397</v>
      </c>
      <c r="D142" t="s">
        <v>31</v>
      </c>
      <c r="F142" t="s">
        <v>32</v>
      </c>
      <c r="G142" s="1">
        <v>40179</v>
      </c>
      <c r="H142" t="s">
        <v>67</v>
      </c>
      <c r="I142" t="s">
        <v>1398</v>
      </c>
      <c r="J142" t="s">
        <v>1398</v>
      </c>
      <c r="K142" t="s">
        <v>1399</v>
      </c>
      <c r="L142" t="s">
        <v>59</v>
      </c>
      <c r="N142" t="s">
        <v>1400</v>
      </c>
      <c r="O142" t="s">
        <v>1401</v>
      </c>
      <c r="P142" t="s">
        <v>1402</v>
      </c>
      <c r="X142">
        <v>2747400</v>
      </c>
      <c r="Y142" t="s">
        <v>1403</v>
      </c>
      <c r="Z142" t="s">
        <v>1329</v>
      </c>
      <c r="AA142" t="s">
        <v>42</v>
      </c>
    </row>
    <row r="143" spans="1:28" x14ac:dyDescent="0.2">
      <c r="A143" t="s">
        <v>1404</v>
      </c>
      <c r="B143" t="s">
        <v>1405</v>
      </c>
      <c r="C143" t="s">
        <v>1406</v>
      </c>
      <c r="D143" t="s">
        <v>31</v>
      </c>
      <c r="F143" t="s">
        <v>32</v>
      </c>
      <c r="G143" s="1">
        <v>42005</v>
      </c>
      <c r="H143" t="s">
        <v>67</v>
      </c>
      <c r="I143" t="s">
        <v>1407</v>
      </c>
      <c r="J143" t="s">
        <v>1408</v>
      </c>
      <c r="K143" t="s">
        <v>1409</v>
      </c>
      <c r="L143" t="s">
        <v>59</v>
      </c>
      <c r="M143" t="s">
        <v>59</v>
      </c>
      <c r="N143" t="s">
        <v>1410</v>
      </c>
      <c r="O143" t="s">
        <v>1411</v>
      </c>
      <c r="Q143" t="s">
        <v>1412</v>
      </c>
      <c r="S143" s="1">
        <v>42372</v>
      </c>
      <c r="X143">
        <v>2790011</v>
      </c>
      <c r="Y143" t="s">
        <v>1413</v>
      </c>
      <c r="Z143" t="s">
        <v>1329</v>
      </c>
      <c r="AA143" t="s">
        <v>42</v>
      </c>
    </row>
    <row r="144" spans="1:28" x14ac:dyDescent="0.2">
      <c r="A144" t="s">
        <v>1414</v>
      </c>
      <c r="B144" t="s">
        <v>1415</v>
      </c>
      <c r="C144" t="s">
        <v>1416</v>
      </c>
      <c r="D144" t="s">
        <v>31</v>
      </c>
      <c r="F144" t="s">
        <v>32</v>
      </c>
      <c r="H144" t="s">
        <v>33</v>
      </c>
      <c r="I144" t="s">
        <v>1417</v>
      </c>
      <c r="J144" t="s">
        <v>1417</v>
      </c>
      <c r="M144" t="s">
        <v>59</v>
      </c>
      <c r="N144" t="s">
        <v>1418</v>
      </c>
      <c r="O144" t="s">
        <v>1419</v>
      </c>
      <c r="P144" t="s">
        <v>1420</v>
      </c>
      <c r="X144">
        <v>2922789</v>
      </c>
      <c r="Y144" t="s">
        <v>1421</v>
      </c>
      <c r="Z144" t="s">
        <v>1329</v>
      </c>
      <c r="AA144" t="s">
        <v>42</v>
      </c>
    </row>
    <row r="145" spans="1:28" x14ac:dyDescent="0.2">
      <c r="A145" t="s">
        <v>1422</v>
      </c>
      <c r="B145" t="s">
        <v>1423</v>
      </c>
      <c r="C145" t="s">
        <v>1424</v>
      </c>
      <c r="D145" t="s">
        <v>31</v>
      </c>
      <c r="F145" t="s">
        <v>32</v>
      </c>
      <c r="G145" s="1">
        <v>43040</v>
      </c>
      <c r="H145" t="s">
        <v>91</v>
      </c>
      <c r="I145" t="s">
        <v>1425</v>
      </c>
      <c r="J145" t="s">
        <v>1425</v>
      </c>
      <c r="K145" t="s">
        <v>1426</v>
      </c>
      <c r="N145" t="s">
        <v>1427</v>
      </c>
      <c r="O145" t="s">
        <v>1428</v>
      </c>
      <c r="P145" t="s">
        <v>1429</v>
      </c>
      <c r="X145">
        <v>3109908</v>
      </c>
      <c r="Y145" t="s">
        <v>150</v>
      </c>
      <c r="Z145" t="s">
        <v>1329</v>
      </c>
      <c r="AA145" t="s">
        <v>42</v>
      </c>
    </row>
    <row r="146" spans="1:28" x14ac:dyDescent="0.2">
      <c r="A146" t="s">
        <v>1430</v>
      </c>
      <c r="B146" t="s">
        <v>1431</v>
      </c>
      <c r="C146" t="s">
        <v>1432</v>
      </c>
      <c r="D146" t="s">
        <v>31</v>
      </c>
      <c r="F146" t="s">
        <v>32</v>
      </c>
      <c r="H146" t="s">
        <v>33</v>
      </c>
      <c r="I146" t="s">
        <v>1433</v>
      </c>
      <c r="J146" t="s">
        <v>1434</v>
      </c>
      <c r="K146" t="s">
        <v>1435</v>
      </c>
      <c r="L146" t="s">
        <v>59</v>
      </c>
      <c r="N146" t="s">
        <v>1436</v>
      </c>
      <c r="O146" t="s">
        <v>1437</v>
      </c>
      <c r="P146" t="s">
        <v>1438</v>
      </c>
      <c r="X146">
        <v>3219213</v>
      </c>
      <c r="Y146" t="s">
        <v>1439</v>
      </c>
      <c r="Z146" t="s">
        <v>1329</v>
      </c>
      <c r="AA146" t="s">
        <v>42</v>
      </c>
    </row>
    <row r="147" spans="1:28" x14ac:dyDescent="0.2">
      <c r="A147" t="s">
        <v>1440</v>
      </c>
      <c r="B147" t="s">
        <v>1441</v>
      </c>
      <c r="C147" t="s">
        <v>1442</v>
      </c>
      <c r="D147" t="s">
        <v>31</v>
      </c>
      <c r="F147" t="s">
        <v>32</v>
      </c>
      <c r="G147" s="1">
        <v>17533</v>
      </c>
      <c r="H147" t="s">
        <v>33</v>
      </c>
      <c r="I147" t="s">
        <v>1443</v>
      </c>
      <c r="J147" t="s">
        <v>1443</v>
      </c>
      <c r="K147" t="s">
        <v>1444</v>
      </c>
      <c r="N147" t="s">
        <v>1445</v>
      </c>
      <c r="O147" t="s">
        <v>1446</v>
      </c>
      <c r="P147" t="s">
        <v>1447</v>
      </c>
      <c r="X147">
        <v>3224823</v>
      </c>
      <c r="Y147" t="s">
        <v>431</v>
      </c>
      <c r="Z147" t="s">
        <v>1329</v>
      </c>
      <c r="AA147" t="s">
        <v>42</v>
      </c>
    </row>
    <row r="148" spans="1:28" x14ac:dyDescent="0.2">
      <c r="A148" t="s">
        <v>1448</v>
      </c>
      <c r="B148" t="s">
        <v>1449</v>
      </c>
      <c r="C148" t="s">
        <v>1450</v>
      </c>
      <c r="D148" t="s">
        <v>31</v>
      </c>
      <c r="F148" t="s">
        <v>32</v>
      </c>
      <c r="H148" t="s">
        <v>33</v>
      </c>
      <c r="I148" t="s">
        <v>1451</v>
      </c>
      <c r="J148" t="s">
        <v>1452</v>
      </c>
      <c r="K148" t="s">
        <v>1453</v>
      </c>
      <c r="M148" t="s">
        <v>59</v>
      </c>
      <c r="N148" t="s">
        <v>1454</v>
      </c>
      <c r="O148" t="s">
        <v>1455</v>
      </c>
      <c r="P148" t="s">
        <v>1456</v>
      </c>
      <c r="X148">
        <v>3228222</v>
      </c>
      <c r="Y148" t="s">
        <v>1457</v>
      </c>
      <c r="Z148" t="s">
        <v>1329</v>
      </c>
      <c r="AA148" t="s">
        <v>42</v>
      </c>
    </row>
    <row r="149" spans="1:28" x14ac:dyDescent="0.2">
      <c r="A149" t="s">
        <v>1458</v>
      </c>
      <c r="B149" t="s">
        <v>1459</v>
      </c>
      <c r="C149" t="s">
        <v>1460</v>
      </c>
      <c r="D149" t="s">
        <v>31</v>
      </c>
      <c r="F149" t="s">
        <v>32</v>
      </c>
      <c r="G149" t="s">
        <v>1461</v>
      </c>
      <c r="H149" t="s">
        <v>33</v>
      </c>
      <c r="I149" t="s">
        <v>1462</v>
      </c>
      <c r="J149" t="s">
        <v>1462</v>
      </c>
      <c r="K149" t="s">
        <v>1463</v>
      </c>
      <c r="N149" t="s">
        <v>1464</v>
      </c>
      <c r="O149" t="s">
        <v>1465</v>
      </c>
      <c r="P149">
        <f>49-30-920-460</f>
        <v>-1361</v>
      </c>
      <c r="X149">
        <v>3358944</v>
      </c>
      <c r="Y149" t="s">
        <v>1466</v>
      </c>
      <c r="Z149" t="s">
        <v>1329</v>
      </c>
      <c r="AA149" t="s">
        <v>42</v>
      </c>
    </row>
    <row r="150" spans="1:28" x14ac:dyDescent="0.2">
      <c r="A150" t="s">
        <v>1467</v>
      </c>
      <c r="B150" t="s">
        <v>1468</v>
      </c>
      <c r="C150" t="s">
        <v>1469</v>
      </c>
      <c r="D150" t="s">
        <v>31</v>
      </c>
      <c r="F150" t="s">
        <v>32</v>
      </c>
      <c r="G150" s="1">
        <v>28126</v>
      </c>
      <c r="H150" t="s">
        <v>33</v>
      </c>
      <c r="I150" t="s">
        <v>1470</v>
      </c>
      <c r="J150" t="s">
        <v>1470</v>
      </c>
      <c r="K150" t="s">
        <v>1471</v>
      </c>
      <c r="N150" t="s">
        <v>1472</v>
      </c>
      <c r="O150" t="s">
        <v>1473</v>
      </c>
      <c r="P150" t="s">
        <v>1474</v>
      </c>
      <c r="X150">
        <v>3564854</v>
      </c>
      <c r="Y150" t="s">
        <v>1475</v>
      </c>
      <c r="Z150" t="s">
        <v>1329</v>
      </c>
      <c r="AA150" t="s">
        <v>42</v>
      </c>
      <c r="AB150" t="s">
        <v>221</v>
      </c>
    </row>
    <row r="151" spans="1:28" x14ac:dyDescent="0.2">
      <c r="A151" t="s">
        <v>1476</v>
      </c>
      <c r="B151" t="s">
        <v>1477</v>
      </c>
      <c r="C151" t="s">
        <v>1478</v>
      </c>
      <c r="D151" t="s">
        <v>31</v>
      </c>
      <c r="F151" t="s">
        <v>32</v>
      </c>
      <c r="G151" s="1">
        <v>44562</v>
      </c>
      <c r="H151" t="s">
        <v>67</v>
      </c>
      <c r="I151" t="s">
        <v>1479</v>
      </c>
      <c r="J151" t="s">
        <v>1480</v>
      </c>
      <c r="K151" t="s">
        <v>1481</v>
      </c>
      <c r="L151" t="s">
        <v>59</v>
      </c>
      <c r="M151" t="s">
        <v>59</v>
      </c>
      <c r="N151" t="s">
        <v>1482</v>
      </c>
      <c r="O151" t="s">
        <v>1483</v>
      </c>
      <c r="X151">
        <v>3572026</v>
      </c>
      <c r="Y151" t="s">
        <v>1484</v>
      </c>
      <c r="Z151" t="s">
        <v>1329</v>
      </c>
      <c r="AA151" t="s">
        <v>42</v>
      </c>
    </row>
    <row r="152" spans="1:28" x14ac:dyDescent="0.2">
      <c r="A152" t="s">
        <v>1485</v>
      </c>
      <c r="B152" t="s">
        <v>1486</v>
      </c>
      <c r="C152" t="s">
        <v>1487</v>
      </c>
      <c r="D152" t="s">
        <v>31</v>
      </c>
      <c r="F152" t="s">
        <v>32</v>
      </c>
      <c r="H152" t="s">
        <v>33</v>
      </c>
      <c r="I152" t="s">
        <v>1488</v>
      </c>
      <c r="J152" t="s">
        <v>1489</v>
      </c>
      <c r="N152" t="s">
        <v>1490</v>
      </c>
      <c r="O152" t="s">
        <v>1491</v>
      </c>
      <c r="P152" t="s">
        <v>1492</v>
      </c>
      <c r="X152">
        <v>3638177</v>
      </c>
      <c r="Y152" t="s">
        <v>1493</v>
      </c>
      <c r="Z152" t="s">
        <v>1329</v>
      </c>
      <c r="AA152" t="s">
        <v>42</v>
      </c>
    </row>
    <row r="153" spans="1:28" x14ac:dyDescent="0.2">
      <c r="A153" t="s">
        <v>1494</v>
      </c>
      <c r="B153" t="s">
        <v>1495</v>
      </c>
      <c r="C153" t="s">
        <v>1496</v>
      </c>
      <c r="D153" t="s">
        <v>31</v>
      </c>
      <c r="F153" t="s">
        <v>32</v>
      </c>
      <c r="G153" s="1">
        <v>42005</v>
      </c>
      <c r="H153" t="s">
        <v>33</v>
      </c>
      <c r="I153" t="s">
        <v>1497</v>
      </c>
      <c r="J153" t="s">
        <v>1498</v>
      </c>
      <c r="K153" t="s">
        <v>1499</v>
      </c>
      <c r="N153" t="s">
        <v>1500</v>
      </c>
      <c r="O153" t="s">
        <v>1501</v>
      </c>
      <c r="P153" t="s">
        <v>1502</v>
      </c>
      <c r="X153">
        <v>3689208</v>
      </c>
      <c r="Y153" t="s">
        <v>1503</v>
      </c>
      <c r="Z153" t="s">
        <v>1329</v>
      </c>
      <c r="AA153" t="s">
        <v>42</v>
      </c>
      <c r="AB153" t="s">
        <v>221</v>
      </c>
    </row>
    <row r="154" spans="1:28" x14ac:dyDescent="0.2">
      <c r="A154" t="s">
        <v>1504</v>
      </c>
      <c r="B154" t="s">
        <v>1505</v>
      </c>
      <c r="C154" t="s">
        <v>1506</v>
      </c>
      <c r="D154" t="s">
        <v>31</v>
      </c>
      <c r="F154" t="s">
        <v>32</v>
      </c>
      <c r="G154" s="1">
        <v>41275</v>
      </c>
      <c r="H154" t="s">
        <v>67</v>
      </c>
      <c r="I154" t="s">
        <v>1507</v>
      </c>
      <c r="J154" t="s">
        <v>1508</v>
      </c>
      <c r="K154" t="s">
        <v>1509</v>
      </c>
      <c r="L154" t="s">
        <v>59</v>
      </c>
      <c r="M154" t="s">
        <v>59</v>
      </c>
      <c r="N154" t="s">
        <v>1510</v>
      </c>
      <c r="O154" t="s">
        <v>1511</v>
      </c>
      <c r="P154" t="s">
        <v>1512</v>
      </c>
      <c r="X154">
        <v>3727941</v>
      </c>
      <c r="Y154" t="s">
        <v>1513</v>
      </c>
      <c r="Z154" t="s">
        <v>1329</v>
      </c>
      <c r="AA154" t="s">
        <v>42</v>
      </c>
      <c r="AB154" t="s">
        <v>192</v>
      </c>
    </row>
    <row r="155" spans="1:28" x14ac:dyDescent="0.2">
      <c r="A155" t="s">
        <v>1514</v>
      </c>
      <c r="B155" t="s">
        <v>1515</v>
      </c>
      <c r="C155" t="s">
        <v>1516</v>
      </c>
      <c r="D155" t="s">
        <v>135</v>
      </c>
      <c r="F155" t="s">
        <v>32</v>
      </c>
      <c r="G155" s="1">
        <v>38353</v>
      </c>
      <c r="H155" t="s">
        <v>33</v>
      </c>
      <c r="I155" t="s">
        <v>1517</v>
      </c>
      <c r="J155" t="s">
        <v>1518</v>
      </c>
      <c r="K155" t="s">
        <v>1519</v>
      </c>
      <c r="N155" t="s">
        <v>1520</v>
      </c>
      <c r="O155" t="s">
        <v>1521</v>
      </c>
      <c r="P155" t="s">
        <v>1522</v>
      </c>
      <c r="X155">
        <v>3919873</v>
      </c>
      <c r="Y155" t="s">
        <v>1523</v>
      </c>
      <c r="Z155" t="s">
        <v>1329</v>
      </c>
      <c r="AA155" t="s">
        <v>42</v>
      </c>
    </row>
    <row r="156" spans="1:28" x14ac:dyDescent="0.2">
      <c r="A156" t="s">
        <v>1524</v>
      </c>
      <c r="B156" t="s">
        <v>1524</v>
      </c>
      <c r="C156" t="s">
        <v>1525</v>
      </c>
      <c r="D156" t="s">
        <v>31</v>
      </c>
      <c r="F156" t="s">
        <v>32</v>
      </c>
      <c r="G156" s="1">
        <v>45369</v>
      </c>
      <c r="H156" t="s">
        <v>67</v>
      </c>
      <c r="I156" t="s">
        <v>1526</v>
      </c>
      <c r="J156" t="s">
        <v>1527</v>
      </c>
      <c r="K156" t="s">
        <v>1528</v>
      </c>
      <c r="N156" t="s">
        <v>1529</v>
      </c>
      <c r="X156">
        <v>3935804</v>
      </c>
      <c r="Y156" t="s">
        <v>1530</v>
      </c>
      <c r="Z156" t="s">
        <v>1329</v>
      </c>
      <c r="AA156" t="s">
        <v>42</v>
      </c>
    </row>
    <row r="157" spans="1:28" x14ac:dyDescent="0.2">
      <c r="A157" t="s">
        <v>1531</v>
      </c>
      <c r="B157" t="s">
        <v>1532</v>
      </c>
      <c r="C157" t="s">
        <v>1533</v>
      </c>
      <c r="D157" t="s">
        <v>31</v>
      </c>
      <c r="F157" t="s">
        <v>32</v>
      </c>
      <c r="G157" s="1">
        <v>44562</v>
      </c>
      <c r="H157" t="s">
        <v>67</v>
      </c>
      <c r="I157" t="s">
        <v>1534</v>
      </c>
      <c r="J157" t="s">
        <v>1535</v>
      </c>
      <c r="K157" t="s">
        <v>1536</v>
      </c>
      <c r="N157" t="s">
        <v>1537</v>
      </c>
      <c r="O157" t="s">
        <v>1538</v>
      </c>
      <c r="X157">
        <v>3977536</v>
      </c>
      <c r="Y157" t="s">
        <v>1539</v>
      </c>
      <c r="Z157" t="s">
        <v>1329</v>
      </c>
      <c r="AA157" t="s">
        <v>42</v>
      </c>
      <c r="AB157" t="s">
        <v>221</v>
      </c>
    </row>
    <row r="158" spans="1:28" x14ac:dyDescent="0.2">
      <c r="A158" t="s">
        <v>1540</v>
      </c>
      <c r="B158" t="s">
        <v>1541</v>
      </c>
      <c r="C158" t="s">
        <v>1542</v>
      </c>
      <c r="D158" t="s">
        <v>31</v>
      </c>
      <c r="F158" t="s">
        <v>32</v>
      </c>
      <c r="G158" s="1">
        <v>43101</v>
      </c>
      <c r="H158" t="s">
        <v>33</v>
      </c>
      <c r="I158" t="s">
        <v>1543</v>
      </c>
      <c r="J158" t="s">
        <v>1544</v>
      </c>
      <c r="K158" t="s">
        <v>1545</v>
      </c>
      <c r="N158" t="s">
        <v>1546</v>
      </c>
      <c r="O158" t="s">
        <v>1547</v>
      </c>
      <c r="P158" t="s">
        <v>1548</v>
      </c>
      <c r="X158">
        <v>3994471</v>
      </c>
      <c r="Y158" t="s">
        <v>1549</v>
      </c>
      <c r="Z158" t="s">
        <v>1329</v>
      </c>
      <c r="AA158" t="s">
        <v>42</v>
      </c>
      <c r="AB158" t="s">
        <v>1038</v>
      </c>
    </row>
    <row r="159" spans="1:28" x14ac:dyDescent="0.2">
      <c r="A159" t="s">
        <v>1550</v>
      </c>
      <c r="B159" t="s">
        <v>1551</v>
      </c>
      <c r="C159" t="s">
        <v>1552</v>
      </c>
      <c r="D159" t="s">
        <v>31</v>
      </c>
      <c r="F159" t="s">
        <v>32</v>
      </c>
      <c r="G159" s="1">
        <v>42370</v>
      </c>
      <c r="H159" t="s">
        <v>67</v>
      </c>
      <c r="I159" t="s">
        <v>1553</v>
      </c>
      <c r="J159" t="s">
        <v>1554</v>
      </c>
      <c r="K159" t="s">
        <v>1555</v>
      </c>
      <c r="L159" t="s">
        <v>59</v>
      </c>
      <c r="N159" t="s">
        <v>1556</v>
      </c>
      <c r="O159" t="s">
        <v>1557</v>
      </c>
      <c r="P159" t="s">
        <v>1558</v>
      </c>
      <c r="X159">
        <v>4111850</v>
      </c>
      <c r="Y159" t="s">
        <v>1559</v>
      </c>
      <c r="Z159" t="s">
        <v>1329</v>
      </c>
      <c r="AA159" t="s">
        <v>42</v>
      </c>
    </row>
    <row r="160" spans="1:28" x14ac:dyDescent="0.2">
      <c r="A160" t="s">
        <v>1560</v>
      </c>
      <c r="B160" t="s">
        <v>1561</v>
      </c>
      <c r="C160" t="s">
        <v>1562</v>
      </c>
      <c r="D160" t="s">
        <v>135</v>
      </c>
      <c r="F160" t="s">
        <v>32</v>
      </c>
      <c r="G160" s="1">
        <v>41640</v>
      </c>
      <c r="H160" t="s">
        <v>67</v>
      </c>
      <c r="I160" t="s">
        <v>1563</v>
      </c>
      <c r="J160" t="s">
        <v>1563</v>
      </c>
      <c r="K160" t="s">
        <v>1564</v>
      </c>
      <c r="N160" t="s">
        <v>1565</v>
      </c>
      <c r="O160" t="s">
        <v>1566</v>
      </c>
      <c r="X160">
        <v>4404108</v>
      </c>
      <c r="Y160" t="s">
        <v>1567</v>
      </c>
      <c r="Z160" t="s">
        <v>1329</v>
      </c>
      <c r="AA160" t="s">
        <v>42</v>
      </c>
    </row>
    <row r="161" spans="1:28" x14ac:dyDescent="0.2">
      <c r="A161" t="s">
        <v>1568</v>
      </c>
      <c r="B161" t="s">
        <v>1569</v>
      </c>
      <c r="C161" t="s">
        <v>1570</v>
      </c>
      <c r="D161" t="s">
        <v>31</v>
      </c>
      <c r="F161" t="s">
        <v>32</v>
      </c>
      <c r="G161" s="1">
        <v>45658</v>
      </c>
      <c r="H161" t="s">
        <v>33</v>
      </c>
      <c r="I161" t="s">
        <v>1571</v>
      </c>
      <c r="J161" t="s">
        <v>1572</v>
      </c>
      <c r="K161" t="s">
        <v>1573</v>
      </c>
      <c r="N161" t="s">
        <v>1574</v>
      </c>
      <c r="Q161" t="s">
        <v>1575</v>
      </c>
      <c r="S161" s="1">
        <v>46042</v>
      </c>
      <c r="X161">
        <v>17048</v>
      </c>
      <c r="Y161" t="s">
        <v>1576</v>
      </c>
      <c r="Z161" t="s">
        <v>1329</v>
      </c>
      <c r="AA161" t="s">
        <v>42</v>
      </c>
    </row>
    <row r="162" spans="1:28" x14ac:dyDescent="0.2">
      <c r="A162" t="s">
        <v>1577</v>
      </c>
      <c r="B162" t="s">
        <v>1577</v>
      </c>
      <c r="C162" t="s">
        <v>1578</v>
      </c>
      <c r="D162" t="s">
        <v>31</v>
      </c>
      <c r="F162" t="s">
        <v>32</v>
      </c>
      <c r="G162" s="1">
        <v>44228</v>
      </c>
      <c r="H162" t="s">
        <v>91</v>
      </c>
      <c r="I162" t="s">
        <v>1579</v>
      </c>
      <c r="J162" t="s">
        <v>1580</v>
      </c>
      <c r="K162" t="s">
        <v>1581</v>
      </c>
      <c r="N162" t="s">
        <v>1582</v>
      </c>
      <c r="O162" t="s">
        <v>1583</v>
      </c>
      <c r="Q162" t="s">
        <v>1584</v>
      </c>
      <c r="S162" s="1">
        <v>45629</v>
      </c>
      <c r="X162">
        <v>25097</v>
      </c>
      <c r="Y162" t="s">
        <v>1585</v>
      </c>
      <c r="Z162" t="s">
        <v>1329</v>
      </c>
      <c r="AA162" t="s">
        <v>42</v>
      </c>
      <c r="AB162" t="s">
        <v>1586</v>
      </c>
    </row>
    <row r="163" spans="1:28" x14ac:dyDescent="0.2">
      <c r="A163" t="s">
        <v>1587</v>
      </c>
      <c r="B163" t="s">
        <v>1588</v>
      </c>
      <c r="C163" t="s">
        <v>1589</v>
      </c>
      <c r="D163" t="s">
        <v>31</v>
      </c>
      <c r="F163" t="s">
        <v>32</v>
      </c>
      <c r="G163" s="1">
        <v>44562</v>
      </c>
      <c r="H163" t="s">
        <v>33</v>
      </c>
      <c r="I163" t="s">
        <v>1590</v>
      </c>
      <c r="J163" t="s">
        <v>1591</v>
      </c>
      <c r="K163" t="s">
        <v>1592</v>
      </c>
      <c r="N163" t="s">
        <v>1593</v>
      </c>
      <c r="Q163" t="s">
        <v>1594</v>
      </c>
      <c r="S163" s="1">
        <v>45523</v>
      </c>
      <c r="X163">
        <v>25160</v>
      </c>
      <c r="Y163" t="s">
        <v>1595</v>
      </c>
      <c r="Z163" t="s">
        <v>1329</v>
      </c>
      <c r="AA163" t="s">
        <v>42</v>
      </c>
      <c r="AB163" t="s">
        <v>1596</v>
      </c>
    </row>
    <row r="164" spans="1:28" x14ac:dyDescent="0.2">
      <c r="A164" t="s">
        <v>1597</v>
      </c>
      <c r="B164" t="s">
        <v>1598</v>
      </c>
      <c r="C164" t="s">
        <v>1599</v>
      </c>
      <c r="D164" t="s">
        <v>31</v>
      </c>
      <c r="F164" t="s">
        <v>32</v>
      </c>
      <c r="G164" s="1">
        <v>45658</v>
      </c>
      <c r="H164" t="s">
        <v>67</v>
      </c>
      <c r="I164" t="s">
        <v>1600</v>
      </c>
      <c r="J164" t="s">
        <v>1601</v>
      </c>
      <c r="K164" t="s">
        <v>1602</v>
      </c>
      <c r="N164" t="s">
        <v>1603</v>
      </c>
      <c r="S164" s="1">
        <v>45981</v>
      </c>
      <c r="X164">
        <v>25963</v>
      </c>
      <c r="Y164" t="s">
        <v>1604</v>
      </c>
      <c r="Z164" t="s">
        <v>1329</v>
      </c>
      <c r="AA164" t="s">
        <v>42</v>
      </c>
    </row>
    <row r="165" spans="1:28" x14ac:dyDescent="0.2">
      <c r="A165" t="s">
        <v>1605</v>
      </c>
      <c r="B165" t="s">
        <v>1606</v>
      </c>
      <c r="C165" t="s">
        <v>1607</v>
      </c>
      <c r="D165" t="s">
        <v>31</v>
      </c>
      <c r="F165" t="s">
        <v>32</v>
      </c>
      <c r="G165" s="1">
        <v>43466</v>
      </c>
      <c r="H165" t="s">
        <v>33</v>
      </c>
      <c r="I165" t="s">
        <v>1608</v>
      </c>
      <c r="J165" t="s">
        <v>1609</v>
      </c>
      <c r="K165" t="s">
        <v>1610</v>
      </c>
      <c r="L165" t="s">
        <v>59</v>
      </c>
      <c r="M165" t="s">
        <v>59</v>
      </c>
      <c r="N165" t="s">
        <v>1611</v>
      </c>
      <c r="Q165" t="s">
        <v>1612</v>
      </c>
      <c r="S165" s="1">
        <v>44824</v>
      </c>
      <c r="X165">
        <v>26477</v>
      </c>
      <c r="Y165" t="s">
        <v>1613</v>
      </c>
      <c r="Z165" t="s">
        <v>1329</v>
      </c>
      <c r="AA165" t="s">
        <v>42</v>
      </c>
      <c r="AB165" t="s">
        <v>1614</v>
      </c>
    </row>
    <row r="166" spans="1:28" x14ac:dyDescent="0.2">
      <c r="A166" t="s">
        <v>1615</v>
      </c>
      <c r="B166" t="s">
        <v>1616</v>
      </c>
      <c r="C166" s="2" t="s">
        <v>1617</v>
      </c>
      <c r="D166" t="s">
        <v>31</v>
      </c>
      <c r="F166" t="s">
        <v>32</v>
      </c>
      <c r="G166" s="1">
        <v>44197</v>
      </c>
      <c r="H166" t="s">
        <v>91</v>
      </c>
      <c r="I166" t="s">
        <v>1618</v>
      </c>
      <c r="J166" t="s">
        <v>1619</v>
      </c>
      <c r="K166" t="s">
        <v>1620</v>
      </c>
      <c r="N166" t="s">
        <v>1621</v>
      </c>
      <c r="O166" t="s">
        <v>1622</v>
      </c>
      <c r="P166" t="s">
        <v>1623</v>
      </c>
      <c r="Q166" t="s">
        <v>1624</v>
      </c>
      <c r="S166" s="1">
        <v>45315</v>
      </c>
      <c r="X166">
        <v>28323</v>
      </c>
      <c r="Y166" t="s">
        <v>1625</v>
      </c>
      <c r="Z166" t="s">
        <v>1329</v>
      </c>
      <c r="AA166" t="s">
        <v>42</v>
      </c>
      <c r="AB166" t="s">
        <v>1626</v>
      </c>
    </row>
    <row r="167" spans="1:28" x14ac:dyDescent="0.2">
      <c r="A167" t="s">
        <v>1627</v>
      </c>
      <c r="B167" t="s">
        <v>1628</v>
      </c>
      <c r="C167" t="s">
        <v>1629</v>
      </c>
      <c r="D167" t="s">
        <v>31</v>
      </c>
      <c r="F167" t="s">
        <v>32</v>
      </c>
      <c r="G167" s="1">
        <v>41640</v>
      </c>
      <c r="H167" t="s">
        <v>91</v>
      </c>
      <c r="I167" t="s">
        <v>1630</v>
      </c>
      <c r="J167" t="s">
        <v>1631</v>
      </c>
      <c r="K167" t="s">
        <v>1632</v>
      </c>
      <c r="L167" t="s">
        <v>59</v>
      </c>
      <c r="M167" t="s">
        <v>59</v>
      </c>
      <c r="N167" t="s">
        <v>1633</v>
      </c>
      <c r="O167" t="s">
        <v>1634</v>
      </c>
      <c r="P167">
        <v>493055578748</v>
      </c>
      <c r="Q167" t="s">
        <v>1635</v>
      </c>
      <c r="S167" s="1">
        <v>45805</v>
      </c>
      <c r="X167">
        <v>31169</v>
      </c>
      <c r="Y167" t="s">
        <v>1636</v>
      </c>
      <c r="Z167" t="s">
        <v>1329</v>
      </c>
      <c r="AA167" t="s">
        <v>42</v>
      </c>
      <c r="AB167" t="s">
        <v>1637</v>
      </c>
    </row>
    <row r="168" spans="1:28" x14ac:dyDescent="0.2">
      <c r="A168" t="s">
        <v>1638</v>
      </c>
      <c r="B168" t="s">
        <v>1639</v>
      </c>
      <c r="C168" t="s">
        <v>1640</v>
      </c>
      <c r="D168" t="s">
        <v>31</v>
      </c>
      <c r="F168" t="s">
        <v>32</v>
      </c>
      <c r="G168" s="1">
        <v>42522</v>
      </c>
      <c r="H168" t="s">
        <v>33</v>
      </c>
      <c r="I168" t="s">
        <v>1641</v>
      </c>
      <c r="J168" t="s">
        <v>1642</v>
      </c>
      <c r="K168" t="s">
        <v>1643</v>
      </c>
      <c r="N168" t="s">
        <v>1644</v>
      </c>
      <c r="O168" t="s">
        <v>1645</v>
      </c>
      <c r="P168" t="s">
        <v>1646</v>
      </c>
      <c r="Q168" t="s">
        <v>1647</v>
      </c>
      <c r="S168" s="1">
        <v>44629</v>
      </c>
      <c r="X168">
        <v>34822</v>
      </c>
      <c r="Y168" t="s">
        <v>1648</v>
      </c>
      <c r="Z168" t="s">
        <v>1329</v>
      </c>
      <c r="AA168" t="s">
        <v>42</v>
      </c>
      <c r="AB168" t="s">
        <v>1649</v>
      </c>
    </row>
    <row r="169" spans="1:28" x14ac:dyDescent="0.2">
      <c r="A169" t="s">
        <v>1650</v>
      </c>
      <c r="B169" t="s">
        <v>1651</v>
      </c>
      <c r="C169" t="s">
        <v>1652</v>
      </c>
      <c r="D169" t="s">
        <v>31</v>
      </c>
      <c r="F169" t="s">
        <v>32</v>
      </c>
      <c r="G169" s="1">
        <v>43847</v>
      </c>
      <c r="H169" t="s">
        <v>33</v>
      </c>
      <c r="I169" t="s">
        <v>1653</v>
      </c>
      <c r="J169" t="s">
        <v>1654</v>
      </c>
      <c r="K169" t="s">
        <v>1655</v>
      </c>
      <c r="M169" t="s">
        <v>59</v>
      </c>
      <c r="N169" t="s">
        <v>1656</v>
      </c>
      <c r="Q169" t="s">
        <v>1657</v>
      </c>
      <c r="S169" s="1">
        <v>45098</v>
      </c>
      <c r="X169">
        <v>36671</v>
      </c>
      <c r="Y169" t="s">
        <v>1658</v>
      </c>
      <c r="Z169" t="s">
        <v>1329</v>
      </c>
      <c r="AA169" t="s">
        <v>42</v>
      </c>
      <c r="AB169" t="s">
        <v>1659</v>
      </c>
    </row>
    <row r="170" spans="1:28" x14ac:dyDescent="0.2">
      <c r="A170" t="s">
        <v>1660</v>
      </c>
      <c r="B170" t="s">
        <v>1661</v>
      </c>
      <c r="C170" t="s">
        <v>1662</v>
      </c>
      <c r="D170" t="s">
        <v>31</v>
      </c>
      <c r="F170" t="s">
        <v>32</v>
      </c>
      <c r="G170" s="1">
        <v>44197</v>
      </c>
      <c r="H170" t="s">
        <v>33</v>
      </c>
      <c r="I170" t="s">
        <v>1663</v>
      </c>
      <c r="J170" t="s">
        <v>1664</v>
      </c>
      <c r="K170" t="s">
        <v>1665</v>
      </c>
      <c r="N170" t="s">
        <v>1666</v>
      </c>
      <c r="O170" t="s">
        <v>1667</v>
      </c>
      <c r="S170" s="1">
        <v>45867</v>
      </c>
      <c r="X170">
        <v>36689</v>
      </c>
      <c r="Y170" t="s">
        <v>1567</v>
      </c>
      <c r="Z170" t="s">
        <v>1329</v>
      </c>
      <c r="AA170" t="s">
        <v>42</v>
      </c>
      <c r="AB170" t="s">
        <v>1668</v>
      </c>
    </row>
    <row r="171" spans="1:28" x14ac:dyDescent="0.2">
      <c r="A171" t="s">
        <v>1669</v>
      </c>
      <c r="B171" t="s">
        <v>1670</v>
      </c>
      <c r="C171" t="s">
        <v>1671</v>
      </c>
      <c r="D171" t="s">
        <v>31</v>
      </c>
      <c r="F171" t="s">
        <v>32</v>
      </c>
      <c r="G171" s="1">
        <v>41912</v>
      </c>
      <c r="H171" t="s">
        <v>33</v>
      </c>
      <c r="I171" t="s">
        <v>1672</v>
      </c>
      <c r="J171" t="s">
        <v>1673</v>
      </c>
      <c r="K171" t="s">
        <v>1674</v>
      </c>
      <c r="L171" t="s">
        <v>59</v>
      </c>
      <c r="M171" t="s">
        <v>59</v>
      </c>
      <c r="N171" t="s">
        <v>1675</v>
      </c>
      <c r="O171" t="s">
        <v>1676</v>
      </c>
      <c r="Q171" t="s">
        <v>1677</v>
      </c>
      <c r="S171" s="1">
        <v>45191</v>
      </c>
      <c r="X171">
        <v>49265</v>
      </c>
      <c r="Y171" t="s">
        <v>1678</v>
      </c>
      <c r="Z171" t="s">
        <v>1329</v>
      </c>
      <c r="AA171" t="s">
        <v>42</v>
      </c>
      <c r="AB171" t="s">
        <v>221</v>
      </c>
    </row>
    <row r="172" spans="1:28" x14ac:dyDescent="0.2">
      <c r="A172" t="s">
        <v>1679</v>
      </c>
      <c r="B172" t="s">
        <v>1680</v>
      </c>
      <c r="C172" t="s">
        <v>1681</v>
      </c>
      <c r="D172" t="s">
        <v>31</v>
      </c>
      <c r="F172" t="s">
        <v>32</v>
      </c>
      <c r="G172" s="1">
        <v>43101</v>
      </c>
      <c r="H172" t="s">
        <v>91</v>
      </c>
      <c r="I172" t="s">
        <v>1682</v>
      </c>
      <c r="J172" t="s">
        <v>1683</v>
      </c>
      <c r="K172" t="s">
        <v>1684</v>
      </c>
      <c r="N172" t="s">
        <v>1685</v>
      </c>
      <c r="O172" t="s">
        <v>1686</v>
      </c>
      <c r="Q172" t="s">
        <v>1687</v>
      </c>
      <c r="S172" s="1">
        <v>44658</v>
      </c>
      <c r="X172">
        <v>53731</v>
      </c>
      <c r="Y172" t="s">
        <v>150</v>
      </c>
      <c r="Z172" t="s">
        <v>1329</v>
      </c>
      <c r="AA172" t="s">
        <v>42</v>
      </c>
      <c r="AB172" t="s">
        <v>1688</v>
      </c>
    </row>
    <row r="173" spans="1:28" x14ac:dyDescent="0.2">
      <c r="A173" t="s">
        <v>1689</v>
      </c>
      <c r="B173" t="s">
        <v>1690</v>
      </c>
      <c r="C173" t="s">
        <v>1691</v>
      </c>
      <c r="D173" t="s">
        <v>31</v>
      </c>
      <c r="F173" t="s">
        <v>32</v>
      </c>
      <c r="G173" s="1">
        <v>43101</v>
      </c>
      <c r="H173" t="s">
        <v>33</v>
      </c>
      <c r="I173" t="s">
        <v>1692</v>
      </c>
      <c r="J173" t="s">
        <v>1693</v>
      </c>
      <c r="K173" t="s">
        <v>1694</v>
      </c>
      <c r="L173" t="s">
        <v>59</v>
      </c>
      <c r="M173" t="s">
        <v>59</v>
      </c>
      <c r="N173" t="s">
        <v>1695</v>
      </c>
      <c r="O173" t="s">
        <v>1696</v>
      </c>
      <c r="Q173" t="s">
        <v>1697</v>
      </c>
      <c r="S173" s="1">
        <v>43937</v>
      </c>
      <c r="X173">
        <v>61875</v>
      </c>
      <c r="Y173" t="s">
        <v>1698</v>
      </c>
      <c r="Z173" t="s">
        <v>1329</v>
      </c>
      <c r="AA173" t="s">
        <v>42</v>
      </c>
      <c r="AB173" t="s">
        <v>1699</v>
      </c>
    </row>
    <row r="174" spans="1:28" x14ac:dyDescent="0.2">
      <c r="A174" t="s">
        <v>1700</v>
      </c>
      <c r="B174" t="s">
        <v>1701</v>
      </c>
      <c r="C174" t="s">
        <v>1702</v>
      </c>
      <c r="D174" t="s">
        <v>31</v>
      </c>
      <c r="F174" t="s">
        <v>32</v>
      </c>
      <c r="G174" s="1">
        <v>37257</v>
      </c>
      <c r="H174" t="s">
        <v>67</v>
      </c>
      <c r="I174" t="s">
        <v>1703</v>
      </c>
      <c r="J174" t="s">
        <v>1704</v>
      </c>
      <c r="K174" t="s">
        <v>1705</v>
      </c>
      <c r="N174" t="s">
        <v>1706</v>
      </c>
      <c r="O174" t="s">
        <v>1707</v>
      </c>
      <c r="P174" t="s">
        <v>1708</v>
      </c>
      <c r="Q174" t="s">
        <v>1709</v>
      </c>
      <c r="S174" s="1">
        <v>45714</v>
      </c>
      <c r="X174">
        <v>71384</v>
      </c>
      <c r="Z174" t="s">
        <v>1329</v>
      </c>
      <c r="AA174" t="s">
        <v>42</v>
      </c>
      <c r="AB174" t="s">
        <v>1710</v>
      </c>
    </row>
    <row r="175" spans="1:28" x14ac:dyDescent="0.2">
      <c r="A175" t="s">
        <v>1711</v>
      </c>
      <c r="B175" t="s">
        <v>1711</v>
      </c>
      <c r="C175" t="s">
        <v>1712</v>
      </c>
      <c r="D175" t="s">
        <v>31</v>
      </c>
      <c r="F175" t="s">
        <v>32</v>
      </c>
      <c r="G175" s="1">
        <v>43992</v>
      </c>
      <c r="H175" t="s">
        <v>33</v>
      </c>
      <c r="I175" t="s">
        <v>1713</v>
      </c>
      <c r="J175" t="s">
        <v>1714</v>
      </c>
      <c r="K175" t="s">
        <v>1715</v>
      </c>
      <c r="N175" t="s">
        <v>1716</v>
      </c>
      <c r="O175" t="s">
        <v>1717</v>
      </c>
      <c r="P175">
        <v>491747614555</v>
      </c>
      <c r="Q175" t="s">
        <v>1718</v>
      </c>
      <c r="S175" s="1">
        <v>45111</v>
      </c>
      <c r="X175">
        <v>74552</v>
      </c>
      <c r="Y175" t="s">
        <v>1719</v>
      </c>
      <c r="Z175" t="s">
        <v>1329</v>
      </c>
      <c r="AA175" t="s">
        <v>42</v>
      </c>
      <c r="AB175" t="s">
        <v>160</v>
      </c>
    </row>
    <row r="176" spans="1:28" x14ac:dyDescent="0.2">
      <c r="A176" t="s">
        <v>1720</v>
      </c>
      <c r="B176" t="s">
        <v>1721</v>
      </c>
      <c r="C176" t="s">
        <v>1722</v>
      </c>
      <c r="D176" t="s">
        <v>135</v>
      </c>
      <c r="F176" t="s">
        <v>32</v>
      </c>
      <c r="G176" s="1">
        <v>44014</v>
      </c>
      <c r="H176" t="s">
        <v>33</v>
      </c>
      <c r="I176" t="s">
        <v>1723</v>
      </c>
      <c r="J176" t="s">
        <v>1724</v>
      </c>
      <c r="K176" t="s">
        <v>1725</v>
      </c>
      <c r="N176" t="s">
        <v>1726</v>
      </c>
      <c r="P176">
        <v>491756461541</v>
      </c>
      <c r="Q176" t="s">
        <v>1727</v>
      </c>
      <c r="S176" s="1">
        <v>44748</v>
      </c>
      <c r="X176">
        <v>83074</v>
      </c>
      <c r="Y176" t="s">
        <v>1728</v>
      </c>
      <c r="Z176" t="s">
        <v>1329</v>
      </c>
      <c r="AA176" t="s">
        <v>42</v>
      </c>
      <c r="AB176" t="s">
        <v>221</v>
      </c>
    </row>
    <row r="177" spans="1:28" x14ac:dyDescent="0.2">
      <c r="A177" t="s">
        <v>1729</v>
      </c>
      <c r="B177" t="s">
        <v>1730</v>
      </c>
      <c r="C177" t="s">
        <v>1731</v>
      </c>
      <c r="D177" t="s">
        <v>31</v>
      </c>
      <c r="F177" t="s">
        <v>32</v>
      </c>
      <c r="G177" s="1">
        <v>43831</v>
      </c>
      <c r="H177" t="s">
        <v>33</v>
      </c>
      <c r="I177" t="s">
        <v>1732</v>
      </c>
      <c r="J177" t="s">
        <v>1733</v>
      </c>
      <c r="K177" t="s">
        <v>1734</v>
      </c>
      <c r="N177" t="s">
        <v>1735</v>
      </c>
      <c r="O177" t="s">
        <v>1736</v>
      </c>
      <c r="P177">
        <v>4915774499083</v>
      </c>
      <c r="Q177" t="s">
        <v>1737</v>
      </c>
      <c r="S177" s="1">
        <v>45911</v>
      </c>
      <c r="X177">
        <v>83634</v>
      </c>
      <c r="Y177" t="s">
        <v>1738</v>
      </c>
      <c r="Z177" t="s">
        <v>1329</v>
      </c>
      <c r="AA177" t="s">
        <v>42</v>
      </c>
    </row>
    <row r="178" spans="1:28" x14ac:dyDescent="0.2">
      <c r="A178" t="s">
        <v>1739</v>
      </c>
      <c r="B178" t="s">
        <v>1740</v>
      </c>
      <c r="C178" t="s">
        <v>1741</v>
      </c>
      <c r="D178" t="s">
        <v>31</v>
      </c>
      <c r="F178" t="s">
        <v>32</v>
      </c>
      <c r="G178" s="1">
        <v>42316</v>
      </c>
      <c r="H178" t="s">
        <v>33</v>
      </c>
      <c r="I178" t="s">
        <v>1742</v>
      </c>
      <c r="J178" t="s">
        <v>1743</v>
      </c>
      <c r="K178" t="s">
        <v>1744</v>
      </c>
      <c r="L178" t="s">
        <v>59</v>
      </c>
      <c r="M178" t="s">
        <v>59</v>
      </c>
      <c r="N178" t="s">
        <v>1745</v>
      </c>
      <c r="O178" t="s">
        <v>1746</v>
      </c>
      <c r="Q178" t="s">
        <v>1747</v>
      </c>
      <c r="S178" s="1">
        <v>44012</v>
      </c>
      <c r="X178">
        <v>89509</v>
      </c>
      <c r="Y178" t="s">
        <v>1748</v>
      </c>
      <c r="Z178" t="s">
        <v>1329</v>
      </c>
      <c r="AA178" t="s">
        <v>42</v>
      </c>
    </row>
    <row r="179" spans="1:28" x14ac:dyDescent="0.2">
      <c r="A179" t="s">
        <v>1749</v>
      </c>
      <c r="B179" t="s">
        <v>1750</v>
      </c>
      <c r="C179" t="s">
        <v>1751</v>
      </c>
      <c r="D179" t="s">
        <v>31</v>
      </c>
      <c r="F179" t="s">
        <v>32</v>
      </c>
      <c r="G179" s="1">
        <v>44197</v>
      </c>
      <c r="H179" t="s">
        <v>33</v>
      </c>
      <c r="I179" t="s">
        <v>1752</v>
      </c>
      <c r="J179" t="s">
        <v>1753</v>
      </c>
      <c r="K179" t="s">
        <v>1754</v>
      </c>
      <c r="N179" t="s">
        <v>1755</v>
      </c>
      <c r="O179" t="s">
        <v>1756</v>
      </c>
      <c r="P179" t="s">
        <v>1757</v>
      </c>
      <c r="S179" s="1">
        <v>44895</v>
      </c>
      <c r="X179">
        <v>92263</v>
      </c>
      <c r="Y179" t="s">
        <v>150</v>
      </c>
      <c r="Z179" t="s">
        <v>1329</v>
      </c>
      <c r="AA179" t="s">
        <v>42</v>
      </c>
      <c r="AB179" t="s">
        <v>221</v>
      </c>
    </row>
    <row r="180" spans="1:28" x14ac:dyDescent="0.2">
      <c r="A180" t="s">
        <v>1758</v>
      </c>
      <c r="B180" t="s">
        <v>1759</v>
      </c>
      <c r="C180" t="s">
        <v>1760</v>
      </c>
      <c r="D180" t="s">
        <v>31</v>
      </c>
      <c r="F180" t="s">
        <v>32</v>
      </c>
      <c r="G180" s="1">
        <v>42370</v>
      </c>
      <c r="H180" t="s">
        <v>91</v>
      </c>
      <c r="I180" t="s">
        <v>1761</v>
      </c>
      <c r="J180" t="s">
        <v>1762</v>
      </c>
      <c r="K180" t="s">
        <v>1763</v>
      </c>
      <c r="L180" t="s">
        <v>59</v>
      </c>
      <c r="M180" t="s">
        <v>59</v>
      </c>
      <c r="N180" t="s">
        <v>1764</v>
      </c>
      <c r="O180" t="s">
        <v>1765</v>
      </c>
      <c r="P180" t="s">
        <v>1766</v>
      </c>
      <c r="Q180" t="s">
        <v>1767</v>
      </c>
      <c r="S180" s="1">
        <v>43553</v>
      </c>
      <c r="X180">
        <v>92847</v>
      </c>
      <c r="Y180" t="s">
        <v>1768</v>
      </c>
      <c r="Z180" t="s">
        <v>1329</v>
      </c>
      <c r="AA180" t="s">
        <v>42</v>
      </c>
    </row>
    <row r="181" spans="1:28" x14ac:dyDescent="0.2">
      <c r="A181" t="s">
        <v>1769</v>
      </c>
      <c r="B181" t="s">
        <v>1770</v>
      </c>
      <c r="C181" t="s">
        <v>1771</v>
      </c>
      <c r="D181" t="s">
        <v>31</v>
      </c>
      <c r="F181" t="s">
        <v>32</v>
      </c>
      <c r="G181" s="1">
        <v>43983</v>
      </c>
      <c r="H181" t="s">
        <v>67</v>
      </c>
      <c r="I181" t="s">
        <v>1772</v>
      </c>
      <c r="J181" t="s">
        <v>1773</v>
      </c>
      <c r="K181" t="s">
        <v>1774</v>
      </c>
      <c r="L181" t="s">
        <v>59</v>
      </c>
      <c r="M181" t="s">
        <v>59</v>
      </c>
      <c r="N181" t="s">
        <v>1775</v>
      </c>
      <c r="O181" t="s">
        <v>1776</v>
      </c>
      <c r="Q181" t="s">
        <v>1777</v>
      </c>
      <c r="S181" s="1">
        <v>45019</v>
      </c>
      <c r="X181">
        <v>96306</v>
      </c>
      <c r="Y181" t="s">
        <v>1778</v>
      </c>
      <c r="Z181" t="s">
        <v>1329</v>
      </c>
      <c r="AA181" t="s">
        <v>42</v>
      </c>
      <c r="AB181" t="s">
        <v>1038</v>
      </c>
    </row>
    <row r="182" spans="1:28" x14ac:dyDescent="0.2">
      <c r="A182" t="s">
        <v>1779</v>
      </c>
      <c r="B182" t="s">
        <v>1780</v>
      </c>
      <c r="C182" t="s">
        <v>1781</v>
      </c>
      <c r="D182" t="s">
        <v>31</v>
      </c>
      <c r="F182" t="s">
        <v>32</v>
      </c>
      <c r="G182" s="1">
        <v>44197</v>
      </c>
      <c r="H182" t="s">
        <v>33</v>
      </c>
      <c r="I182" t="s">
        <v>1782</v>
      </c>
      <c r="J182" t="s">
        <v>1782</v>
      </c>
      <c r="K182" t="s">
        <v>1783</v>
      </c>
      <c r="L182" t="s">
        <v>59</v>
      </c>
      <c r="N182" t="s">
        <v>1784</v>
      </c>
      <c r="O182" t="s">
        <v>1785</v>
      </c>
      <c r="P182" t="s">
        <v>1786</v>
      </c>
      <c r="Q182" t="s">
        <v>1787</v>
      </c>
      <c r="S182" s="1">
        <v>45797</v>
      </c>
      <c r="X182">
        <v>97736</v>
      </c>
      <c r="Y182" t="s">
        <v>1788</v>
      </c>
      <c r="Z182" t="s">
        <v>1329</v>
      </c>
      <c r="AA182" t="s">
        <v>42</v>
      </c>
      <c r="AB182" t="s">
        <v>1789</v>
      </c>
    </row>
    <row r="183" spans="1:28" x14ac:dyDescent="0.2">
      <c r="A183" t="s">
        <v>1790</v>
      </c>
      <c r="B183" t="s">
        <v>1791</v>
      </c>
      <c r="C183" t="s">
        <v>1792</v>
      </c>
      <c r="D183" t="s">
        <v>31</v>
      </c>
      <c r="F183" t="s">
        <v>32</v>
      </c>
      <c r="G183" s="1">
        <v>43922</v>
      </c>
      <c r="H183" t="s">
        <v>33</v>
      </c>
      <c r="I183" t="s">
        <v>1793</v>
      </c>
      <c r="J183" t="s">
        <v>1794</v>
      </c>
      <c r="K183" t="s">
        <v>1795</v>
      </c>
      <c r="L183" t="s">
        <v>59</v>
      </c>
      <c r="M183" t="s">
        <v>59</v>
      </c>
      <c r="N183" t="s">
        <v>1796</v>
      </c>
      <c r="O183" t="s">
        <v>1797</v>
      </c>
      <c r="Q183" t="s">
        <v>1798</v>
      </c>
      <c r="S183" s="1">
        <v>45001</v>
      </c>
      <c r="X183">
        <v>98162</v>
      </c>
      <c r="Y183" t="s">
        <v>1799</v>
      </c>
      <c r="Z183" t="s">
        <v>1329</v>
      </c>
      <c r="AA183" t="s">
        <v>42</v>
      </c>
      <c r="AB183" t="s">
        <v>1800</v>
      </c>
    </row>
    <row r="184" spans="1:28" x14ac:dyDescent="0.2">
      <c r="A184" t="s">
        <v>1801</v>
      </c>
      <c r="B184" t="s">
        <v>1802</v>
      </c>
      <c r="C184" t="s">
        <v>1803</v>
      </c>
      <c r="D184" t="s">
        <v>135</v>
      </c>
      <c r="F184" t="s">
        <v>32</v>
      </c>
      <c r="G184" s="1">
        <v>42005</v>
      </c>
      <c r="H184" t="s">
        <v>33</v>
      </c>
      <c r="I184" t="s">
        <v>1804</v>
      </c>
      <c r="J184" t="s">
        <v>1805</v>
      </c>
      <c r="K184" t="s">
        <v>1806</v>
      </c>
      <c r="L184" t="s">
        <v>59</v>
      </c>
      <c r="M184" t="s">
        <v>59</v>
      </c>
      <c r="N184" t="s">
        <v>1807</v>
      </c>
      <c r="O184" t="s">
        <v>1808</v>
      </c>
      <c r="P184">
        <v>4930555742980</v>
      </c>
      <c r="Q184" t="s">
        <v>1809</v>
      </c>
      <c r="S184" s="1">
        <v>43187</v>
      </c>
      <c r="X184">
        <v>100450</v>
      </c>
      <c r="Y184" t="s">
        <v>150</v>
      </c>
      <c r="Z184" t="s">
        <v>1329</v>
      </c>
      <c r="AA184" t="s">
        <v>42</v>
      </c>
    </row>
    <row r="185" spans="1:28" x14ac:dyDescent="0.2">
      <c r="A185" t="s">
        <v>1810</v>
      </c>
      <c r="B185" t="s">
        <v>1811</v>
      </c>
      <c r="C185" t="s">
        <v>1812</v>
      </c>
      <c r="D185" t="s">
        <v>31</v>
      </c>
      <c r="F185" t="s">
        <v>32</v>
      </c>
      <c r="G185" s="1">
        <v>41850</v>
      </c>
      <c r="H185" t="s">
        <v>33</v>
      </c>
      <c r="I185" t="s">
        <v>1813</v>
      </c>
      <c r="J185" t="s">
        <v>1814</v>
      </c>
      <c r="K185" t="s">
        <v>1815</v>
      </c>
      <c r="L185" t="s">
        <v>59</v>
      </c>
      <c r="M185" t="s">
        <v>59</v>
      </c>
      <c r="N185" t="s">
        <v>1816</v>
      </c>
      <c r="O185" t="s">
        <v>1817</v>
      </c>
      <c r="P185">
        <v>493064826092</v>
      </c>
      <c r="Q185" t="s">
        <v>1818</v>
      </c>
      <c r="S185" s="1">
        <v>43709</v>
      </c>
      <c r="X185">
        <v>114757</v>
      </c>
      <c r="Y185" t="s">
        <v>1819</v>
      </c>
      <c r="Z185" t="s">
        <v>1329</v>
      </c>
      <c r="AA185" t="s">
        <v>42</v>
      </c>
      <c r="AB185" t="s">
        <v>221</v>
      </c>
    </row>
    <row r="186" spans="1:28" x14ac:dyDescent="0.2">
      <c r="A186" t="s">
        <v>1820</v>
      </c>
      <c r="B186" t="s">
        <v>1821</v>
      </c>
      <c r="C186" t="s">
        <v>1822</v>
      </c>
      <c r="D186" t="s">
        <v>31</v>
      </c>
      <c r="F186" t="s">
        <v>32</v>
      </c>
      <c r="G186" s="1">
        <v>43466</v>
      </c>
      <c r="H186" t="s">
        <v>33</v>
      </c>
      <c r="I186" t="s">
        <v>1823</v>
      </c>
      <c r="J186" t="s">
        <v>1824</v>
      </c>
      <c r="K186" t="s">
        <v>1825</v>
      </c>
      <c r="M186" t="s">
        <v>59</v>
      </c>
      <c r="N186" t="s">
        <v>1826</v>
      </c>
      <c r="O186" t="s">
        <v>1827</v>
      </c>
      <c r="Q186" t="s">
        <v>1828</v>
      </c>
      <c r="S186" s="1">
        <v>44504</v>
      </c>
      <c r="X186">
        <v>118684</v>
      </c>
      <c r="Y186" t="s">
        <v>1829</v>
      </c>
      <c r="Z186" t="s">
        <v>1329</v>
      </c>
      <c r="AA186" t="s">
        <v>42</v>
      </c>
    </row>
    <row r="187" spans="1:28" x14ac:dyDescent="0.2">
      <c r="A187" t="s">
        <v>1830</v>
      </c>
      <c r="B187" t="s">
        <v>1831</v>
      </c>
      <c r="C187" t="s">
        <v>1832</v>
      </c>
      <c r="D187" t="s">
        <v>31</v>
      </c>
      <c r="F187" t="s">
        <v>32</v>
      </c>
      <c r="G187" s="1">
        <v>42736</v>
      </c>
      <c r="H187" t="s">
        <v>33</v>
      </c>
      <c r="I187" t="s">
        <v>1833</v>
      </c>
      <c r="J187" t="s">
        <v>1834</v>
      </c>
      <c r="K187" t="s">
        <v>1835</v>
      </c>
      <c r="L187" t="s">
        <v>59</v>
      </c>
      <c r="M187" t="s">
        <v>59</v>
      </c>
      <c r="N187" t="s">
        <v>1836</v>
      </c>
      <c r="O187" t="s">
        <v>1837</v>
      </c>
      <c r="P187" t="s">
        <v>1838</v>
      </c>
      <c r="Q187" t="s">
        <v>1839</v>
      </c>
      <c r="S187" s="1">
        <v>43004</v>
      </c>
      <c r="X187">
        <v>128438</v>
      </c>
      <c r="Y187" t="s">
        <v>1840</v>
      </c>
      <c r="Z187" t="s">
        <v>1329</v>
      </c>
      <c r="AA187" t="s">
        <v>42</v>
      </c>
    </row>
    <row r="188" spans="1:28" x14ac:dyDescent="0.2">
      <c r="A188" t="s">
        <v>1841</v>
      </c>
      <c r="B188" t="s">
        <v>1842</v>
      </c>
      <c r="C188" t="s">
        <v>1843</v>
      </c>
      <c r="D188" t="s">
        <v>31</v>
      </c>
      <c r="F188" t="s">
        <v>32</v>
      </c>
      <c r="G188" s="1">
        <v>43831</v>
      </c>
      <c r="H188" t="s">
        <v>33</v>
      </c>
      <c r="I188" t="s">
        <v>1844</v>
      </c>
      <c r="J188" t="s">
        <v>1845</v>
      </c>
      <c r="K188" t="s">
        <v>1846</v>
      </c>
      <c r="N188" t="s">
        <v>1847</v>
      </c>
      <c r="O188" t="s">
        <v>1848</v>
      </c>
      <c r="Q188" t="s">
        <v>1849</v>
      </c>
      <c r="S188" s="1">
        <v>45105</v>
      </c>
      <c r="X188">
        <v>130975</v>
      </c>
      <c r="Y188" t="s">
        <v>1850</v>
      </c>
      <c r="Z188" t="s">
        <v>1329</v>
      </c>
      <c r="AA188" t="s">
        <v>42</v>
      </c>
      <c r="AB188" t="s">
        <v>1851</v>
      </c>
    </row>
    <row r="189" spans="1:28" x14ac:dyDescent="0.2">
      <c r="A189" t="s">
        <v>1852</v>
      </c>
      <c r="B189" t="s">
        <v>1853</v>
      </c>
      <c r="C189" t="s">
        <v>1854</v>
      </c>
      <c r="D189" t="s">
        <v>135</v>
      </c>
      <c r="F189" t="s">
        <v>32</v>
      </c>
      <c r="G189" s="1">
        <v>42302</v>
      </c>
      <c r="H189" t="s">
        <v>33</v>
      </c>
      <c r="I189" t="s">
        <v>1855</v>
      </c>
      <c r="J189" t="s">
        <v>1856</v>
      </c>
      <c r="K189" t="s">
        <v>1857</v>
      </c>
      <c r="L189" t="s">
        <v>59</v>
      </c>
      <c r="M189" t="s">
        <v>59</v>
      </c>
      <c r="N189" t="s">
        <v>1858</v>
      </c>
      <c r="O189" t="s">
        <v>1859</v>
      </c>
      <c r="P189" t="s">
        <v>1860</v>
      </c>
      <c r="Q189" t="s">
        <v>1861</v>
      </c>
      <c r="S189" s="1">
        <v>43157</v>
      </c>
      <c r="X189">
        <v>145349</v>
      </c>
      <c r="Y189" t="s">
        <v>1862</v>
      </c>
      <c r="Z189" t="s">
        <v>1329</v>
      </c>
      <c r="AA189" t="s">
        <v>42</v>
      </c>
      <c r="AB189" t="s">
        <v>1863</v>
      </c>
    </row>
    <row r="190" spans="1:28" x14ac:dyDescent="0.2">
      <c r="A190" t="s">
        <v>1864</v>
      </c>
      <c r="B190" t="s">
        <v>1865</v>
      </c>
      <c r="C190" t="s">
        <v>1866</v>
      </c>
      <c r="D190" t="s">
        <v>31</v>
      </c>
      <c r="F190" t="s">
        <v>32</v>
      </c>
      <c r="G190" s="1">
        <v>42339</v>
      </c>
      <c r="H190" t="s">
        <v>91</v>
      </c>
      <c r="I190" t="s">
        <v>1867</v>
      </c>
      <c r="J190" t="s">
        <v>1868</v>
      </c>
      <c r="K190" t="s">
        <v>1869</v>
      </c>
      <c r="L190" t="s">
        <v>59</v>
      </c>
      <c r="M190" t="s">
        <v>59</v>
      </c>
      <c r="N190" t="s">
        <v>1870</v>
      </c>
      <c r="P190" t="s">
        <v>1871</v>
      </c>
      <c r="Q190" t="s">
        <v>1872</v>
      </c>
      <c r="S190" s="1">
        <v>43509</v>
      </c>
      <c r="X190">
        <v>171451</v>
      </c>
      <c r="Y190" t="s">
        <v>1873</v>
      </c>
      <c r="Z190" t="s">
        <v>1329</v>
      </c>
      <c r="AA190" t="s">
        <v>42</v>
      </c>
      <c r="AB190" t="s">
        <v>192</v>
      </c>
    </row>
    <row r="191" spans="1:28" x14ac:dyDescent="0.2">
      <c r="A191" t="s">
        <v>1874</v>
      </c>
      <c r="B191" t="s">
        <v>1875</v>
      </c>
      <c r="C191" t="s">
        <v>1876</v>
      </c>
      <c r="D191" t="s">
        <v>31</v>
      </c>
      <c r="F191" t="s">
        <v>32</v>
      </c>
      <c r="G191" s="1">
        <v>44927</v>
      </c>
      <c r="H191" t="s">
        <v>67</v>
      </c>
      <c r="I191" t="s">
        <v>1877</v>
      </c>
      <c r="J191" t="s">
        <v>1878</v>
      </c>
      <c r="K191" t="s">
        <v>1879</v>
      </c>
      <c r="N191" t="s">
        <v>1880</v>
      </c>
      <c r="O191" t="s">
        <v>1881</v>
      </c>
      <c r="Q191" t="s">
        <v>1882</v>
      </c>
      <c r="S191" s="1">
        <v>45566</v>
      </c>
      <c r="X191">
        <v>172367</v>
      </c>
      <c r="Y191" t="s">
        <v>1883</v>
      </c>
      <c r="Z191" t="s">
        <v>1329</v>
      </c>
      <c r="AA191" t="s">
        <v>42</v>
      </c>
      <c r="AB191" t="s">
        <v>1884</v>
      </c>
    </row>
    <row r="192" spans="1:28" x14ac:dyDescent="0.2">
      <c r="A192" t="s">
        <v>1885</v>
      </c>
      <c r="B192" t="s">
        <v>1886</v>
      </c>
      <c r="C192" t="s">
        <v>1887</v>
      </c>
      <c r="D192" t="s">
        <v>31</v>
      </c>
      <c r="F192" t="s">
        <v>32</v>
      </c>
      <c r="G192" s="1">
        <v>44562</v>
      </c>
      <c r="H192" t="s">
        <v>33</v>
      </c>
      <c r="I192" t="s">
        <v>1888</v>
      </c>
      <c r="J192" t="s">
        <v>1888</v>
      </c>
      <c r="K192" t="s">
        <v>1889</v>
      </c>
      <c r="L192" t="s">
        <v>59</v>
      </c>
      <c r="N192" t="s">
        <v>1890</v>
      </c>
      <c r="O192" t="s">
        <v>1891</v>
      </c>
      <c r="Q192" t="s">
        <v>1892</v>
      </c>
      <c r="X192">
        <v>179053</v>
      </c>
      <c r="Y192" t="s">
        <v>150</v>
      </c>
      <c r="Z192" t="s">
        <v>1329</v>
      </c>
      <c r="AA192" t="s">
        <v>42</v>
      </c>
      <c r="AB192" t="s">
        <v>1893</v>
      </c>
    </row>
    <row r="193" spans="1:28" x14ac:dyDescent="0.2">
      <c r="A193" t="s">
        <v>1894</v>
      </c>
      <c r="B193" t="s">
        <v>1895</v>
      </c>
      <c r="C193" t="s">
        <v>1896</v>
      </c>
      <c r="D193" t="s">
        <v>31</v>
      </c>
      <c r="F193" t="s">
        <v>32</v>
      </c>
      <c r="G193" s="1">
        <v>44013</v>
      </c>
      <c r="H193" t="s">
        <v>91</v>
      </c>
      <c r="I193" t="s">
        <v>1897</v>
      </c>
      <c r="J193" t="s">
        <v>1898</v>
      </c>
      <c r="K193" t="s">
        <v>1899</v>
      </c>
      <c r="N193" t="s">
        <v>1900</v>
      </c>
      <c r="O193" t="s">
        <v>1901</v>
      </c>
      <c r="P193">
        <v>4917662056059</v>
      </c>
      <c r="Q193" t="s">
        <v>1902</v>
      </c>
      <c r="S193" s="1">
        <v>45078</v>
      </c>
      <c r="X193">
        <v>197165</v>
      </c>
      <c r="Y193" t="s">
        <v>1903</v>
      </c>
      <c r="Z193" t="s">
        <v>1329</v>
      </c>
      <c r="AA193" t="s">
        <v>42</v>
      </c>
      <c r="AB193" t="s">
        <v>1904</v>
      </c>
    </row>
    <row r="194" spans="1:28" x14ac:dyDescent="0.2">
      <c r="A194" t="s">
        <v>1905</v>
      </c>
      <c r="B194" t="s">
        <v>1906</v>
      </c>
      <c r="C194" t="s">
        <v>1907</v>
      </c>
      <c r="D194" t="s">
        <v>31</v>
      </c>
      <c r="F194" t="s">
        <v>32</v>
      </c>
      <c r="G194" s="1">
        <v>45550</v>
      </c>
      <c r="H194" t="s">
        <v>67</v>
      </c>
      <c r="I194" t="s">
        <v>1908</v>
      </c>
      <c r="J194" t="s">
        <v>1909</v>
      </c>
      <c r="K194" t="s">
        <v>1910</v>
      </c>
      <c r="N194" t="s">
        <v>1911</v>
      </c>
      <c r="O194" t="s">
        <v>1912</v>
      </c>
      <c r="S194" s="1">
        <v>45674</v>
      </c>
      <c r="X194">
        <v>220018</v>
      </c>
      <c r="Y194" t="s">
        <v>1913</v>
      </c>
      <c r="Z194" t="s">
        <v>1329</v>
      </c>
      <c r="AA194" t="s">
        <v>42</v>
      </c>
    </row>
    <row r="195" spans="1:28" x14ac:dyDescent="0.2">
      <c r="A195" t="s">
        <v>1914</v>
      </c>
      <c r="B195" t="s">
        <v>1915</v>
      </c>
      <c r="C195" t="s">
        <v>1916</v>
      </c>
      <c r="D195" t="s">
        <v>31</v>
      </c>
      <c r="F195" t="s">
        <v>32</v>
      </c>
      <c r="G195" s="1">
        <v>43101</v>
      </c>
      <c r="H195" t="s">
        <v>67</v>
      </c>
      <c r="I195" t="s">
        <v>1917</v>
      </c>
      <c r="J195" t="s">
        <v>1918</v>
      </c>
      <c r="K195" t="s">
        <v>1919</v>
      </c>
      <c r="N195" t="s">
        <v>1920</v>
      </c>
      <c r="P195" t="s">
        <v>1921</v>
      </c>
      <c r="S195" s="1">
        <v>44600</v>
      </c>
      <c r="X195">
        <v>223704</v>
      </c>
      <c r="Y195" t="s">
        <v>1922</v>
      </c>
      <c r="Z195" t="s">
        <v>1329</v>
      </c>
      <c r="AA195" t="s">
        <v>42</v>
      </c>
    </row>
    <row r="196" spans="1:28" x14ac:dyDescent="0.2">
      <c r="A196" t="s">
        <v>1923</v>
      </c>
      <c r="B196" t="s">
        <v>1924</v>
      </c>
      <c r="C196" t="s">
        <v>1925</v>
      </c>
      <c r="D196" t="s">
        <v>31</v>
      </c>
      <c r="F196" t="s">
        <v>32</v>
      </c>
      <c r="G196" s="1">
        <v>42736</v>
      </c>
      <c r="H196" t="s">
        <v>91</v>
      </c>
      <c r="I196" t="s">
        <v>1926</v>
      </c>
      <c r="J196" t="s">
        <v>1926</v>
      </c>
      <c r="K196" t="s">
        <v>1927</v>
      </c>
      <c r="L196" t="s">
        <v>59</v>
      </c>
      <c r="M196" t="s">
        <v>59</v>
      </c>
      <c r="N196" t="s">
        <v>1928</v>
      </c>
      <c r="P196" t="s">
        <v>1929</v>
      </c>
      <c r="X196">
        <v>226067</v>
      </c>
      <c r="Y196" t="s">
        <v>1930</v>
      </c>
      <c r="Z196" t="s">
        <v>1329</v>
      </c>
      <c r="AA196" t="s">
        <v>42</v>
      </c>
      <c r="AB196" t="s">
        <v>1931</v>
      </c>
    </row>
    <row r="197" spans="1:28" x14ac:dyDescent="0.2">
      <c r="A197" t="s">
        <v>1932</v>
      </c>
      <c r="B197" t="s">
        <v>1933</v>
      </c>
      <c r="C197" t="s">
        <v>1934</v>
      </c>
      <c r="D197" t="s">
        <v>31</v>
      </c>
      <c r="F197" t="s">
        <v>32</v>
      </c>
      <c r="G197" s="1">
        <v>44562</v>
      </c>
      <c r="H197" t="s">
        <v>33</v>
      </c>
      <c r="I197" t="s">
        <v>1935</v>
      </c>
      <c r="J197" t="s">
        <v>1936</v>
      </c>
      <c r="K197" t="s">
        <v>1937</v>
      </c>
      <c r="L197" t="s">
        <v>59</v>
      </c>
      <c r="M197" t="s">
        <v>59</v>
      </c>
      <c r="N197" t="s">
        <v>1938</v>
      </c>
      <c r="S197" s="1">
        <v>45317</v>
      </c>
      <c r="X197">
        <v>311276</v>
      </c>
      <c r="Y197" t="s">
        <v>1939</v>
      </c>
      <c r="Z197" t="s">
        <v>1329</v>
      </c>
      <c r="AA197" t="s">
        <v>42</v>
      </c>
      <c r="AB197" t="s">
        <v>1940</v>
      </c>
    </row>
    <row r="198" spans="1:28" x14ac:dyDescent="0.2">
      <c r="A198" t="s">
        <v>1941</v>
      </c>
      <c r="B198" t="s">
        <v>1942</v>
      </c>
      <c r="C198" t="s">
        <v>1943</v>
      </c>
      <c r="D198" t="s">
        <v>31</v>
      </c>
      <c r="F198" t="s">
        <v>32</v>
      </c>
      <c r="G198" s="1">
        <v>43101</v>
      </c>
      <c r="H198" t="s">
        <v>67</v>
      </c>
      <c r="I198" t="s">
        <v>1944</v>
      </c>
      <c r="J198" t="s">
        <v>1944</v>
      </c>
      <c r="K198" t="s">
        <v>1945</v>
      </c>
      <c r="N198" t="s">
        <v>1946</v>
      </c>
      <c r="O198" t="s">
        <v>1947</v>
      </c>
      <c r="P198" t="s">
        <v>1948</v>
      </c>
      <c r="X198">
        <v>322888</v>
      </c>
      <c r="Y198" t="s">
        <v>1949</v>
      </c>
      <c r="Z198" t="s">
        <v>1329</v>
      </c>
      <c r="AA198" t="s">
        <v>42</v>
      </c>
    </row>
    <row r="199" spans="1:28" x14ac:dyDescent="0.2">
      <c r="A199" t="s">
        <v>1950</v>
      </c>
      <c r="B199" t="s">
        <v>1951</v>
      </c>
      <c r="C199" t="s">
        <v>1952</v>
      </c>
      <c r="D199" t="s">
        <v>31</v>
      </c>
      <c r="F199" t="s">
        <v>32</v>
      </c>
      <c r="G199" s="1">
        <v>44197</v>
      </c>
      <c r="H199" t="s">
        <v>33</v>
      </c>
      <c r="I199" t="s">
        <v>1953</v>
      </c>
      <c r="J199" t="s">
        <v>1953</v>
      </c>
      <c r="K199" t="s">
        <v>1954</v>
      </c>
      <c r="L199" t="s">
        <v>59</v>
      </c>
      <c r="N199" t="s">
        <v>1955</v>
      </c>
      <c r="O199" t="s">
        <v>1956</v>
      </c>
      <c r="P199" t="s">
        <v>1957</v>
      </c>
      <c r="Q199" t="s">
        <v>1958</v>
      </c>
      <c r="X199">
        <v>342112</v>
      </c>
      <c r="Y199" t="s">
        <v>1959</v>
      </c>
      <c r="Z199" t="s">
        <v>1329</v>
      </c>
      <c r="AA199" t="s">
        <v>42</v>
      </c>
      <c r="AB199" t="s">
        <v>1960</v>
      </c>
    </row>
    <row r="200" spans="1:28" x14ac:dyDescent="0.2">
      <c r="A200" t="s">
        <v>1961</v>
      </c>
      <c r="B200" t="s">
        <v>1962</v>
      </c>
      <c r="C200" s="2" t="s">
        <v>1963</v>
      </c>
      <c r="D200" t="s">
        <v>31</v>
      </c>
      <c r="F200" t="s">
        <v>32</v>
      </c>
      <c r="G200" s="1">
        <v>31413</v>
      </c>
      <c r="H200" t="s">
        <v>33</v>
      </c>
      <c r="I200" t="s">
        <v>1964</v>
      </c>
      <c r="J200" t="s">
        <v>1964</v>
      </c>
      <c r="K200" t="s">
        <v>1965</v>
      </c>
      <c r="N200" t="s">
        <v>1966</v>
      </c>
      <c r="O200" t="s">
        <v>1967</v>
      </c>
      <c r="P200" t="s">
        <v>1968</v>
      </c>
      <c r="Q200" t="s">
        <v>1969</v>
      </c>
      <c r="X200">
        <v>348954</v>
      </c>
      <c r="Y200" t="s">
        <v>1970</v>
      </c>
      <c r="Z200" t="s">
        <v>1329</v>
      </c>
      <c r="AA200" t="s">
        <v>42</v>
      </c>
      <c r="AB200" t="s">
        <v>1971</v>
      </c>
    </row>
    <row r="201" spans="1:28" x14ac:dyDescent="0.2">
      <c r="A201" t="s">
        <v>1972</v>
      </c>
      <c r="B201" t="s">
        <v>1972</v>
      </c>
      <c r="C201" t="s">
        <v>1973</v>
      </c>
      <c r="D201" t="s">
        <v>31</v>
      </c>
      <c r="F201" t="s">
        <v>32</v>
      </c>
      <c r="G201" s="1">
        <v>43831</v>
      </c>
      <c r="H201" t="s">
        <v>67</v>
      </c>
      <c r="I201" t="s">
        <v>1974</v>
      </c>
      <c r="J201" t="s">
        <v>1975</v>
      </c>
      <c r="K201" t="s">
        <v>1976</v>
      </c>
      <c r="N201" t="s">
        <v>1977</v>
      </c>
      <c r="Q201" t="s">
        <v>1978</v>
      </c>
      <c r="S201" s="1">
        <v>44414</v>
      </c>
      <c r="X201">
        <v>367000</v>
      </c>
      <c r="Y201" t="s">
        <v>1979</v>
      </c>
      <c r="Z201" t="s">
        <v>1329</v>
      </c>
      <c r="AA201" t="s">
        <v>42</v>
      </c>
      <c r="AB201" t="s">
        <v>221</v>
      </c>
    </row>
    <row r="202" spans="1:28" x14ac:dyDescent="0.2">
      <c r="A202" t="s">
        <v>1980</v>
      </c>
      <c r="B202" t="s">
        <v>1981</v>
      </c>
      <c r="C202" t="s">
        <v>1982</v>
      </c>
      <c r="D202" t="s">
        <v>31</v>
      </c>
      <c r="F202" t="s">
        <v>32</v>
      </c>
      <c r="G202" s="1">
        <v>44197</v>
      </c>
      <c r="H202" t="s">
        <v>67</v>
      </c>
      <c r="I202" t="s">
        <v>1983</v>
      </c>
      <c r="J202" t="s">
        <v>1984</v>
      </c>
      <c r="K202" t="s">
        <v>1985</v>
      </c>
      <c r="L202" t="s">
        <v>59</v>
      </c>
      <c r="M202" t="s">
        <v>59</v>
      </c>
      <c r="N202" t="s">
        <v>1986</v>
      </c>
      <c r="O202" t="s">
        <v>1987</v>
      </c>
      <c r="Q202" t="s">
        <v>1988</v>
      </c>
      <c r="X202">
        <v>419141</v>
      </c>
      <c r="Y202" t="s">
        <v>1989</v>
      </c>
      <c r="Z202" t="s">
        <v>1329</v>
      </c>
      <c r="AA202" t="s">
        <v>42</v>
      </c>
      <c r="AB202" t="s">
        <v>1990</v>
      </c>
    </row>
    <row r="203" spans="1:28" x14ac:dyDescent="0.2">
      <c r="A203" t="s">
        <v>1991</v>
      </c>
      <c r="B203" t="s">
        <v>1992</v>
      </c>
      <c r="C203" t="s">
        <v>1993</v>
      </c>
      <c r="D203" t="s">
        <v>31</v>
      </c>
      <c r="F203" t="s">
        <v>32</v>
      </c>
      <c r="G203" s="1">
        <v>42370</v>
      </c>
      <c r="H203" t="s">
        <v>33</v>
      </c>
      <c r="I203" t="s">
        <v>1994</v>
      </c>
      <c r="J203" t="s">
        <v>1994</v>
      </c>
      <c r="K203" t="s">
        <v>1995</v>
      </c>
      <c r="N203" t="s">
        <v>1996</v>
      </c>
      <c r="O203" t="s">
        <v>1997</v>
      </c>
      <c r="S203" s="1">
        <v>44953</v>
      </c>
      <c r="X203">
        <v>422564</v>
      </c>
      <c r="Y203" t="s">
        <v>1998</v>
      </c>
      <c r="Z203" t="s">
        <v>1329</v>
      </c>
      <c r="AA203" t="s">
        <v>42</v>
      </c>
      <c r="AB203" t="s">
        <v>678</v>
      </c>
    </row>
    <row r="204" spans="1:28" x14ac:dyDescent="0.2">
      <c r="A204" t="s">
        <v>1999</v>
      </c>
      <c r="B204" t="s">
        <v>2000</v>
      </c>
      <c r="C204" t="s">
        <v>2001</v>
      </c>
      <c r="D204" t="s">
        <v>31</v>
      </c>
      <c r="F204" t="s">
        <v>32</v>
      </c>
      <c r="G204" s="1">
        <v>44896</v>
      </c>
      <c r="H204" t="s">
        <v>67</v>
      </c>
      <c r="I204" t="s">
        <v>2002</v>
      </c>
      <c r="J204" t="s">
        <v>2003</v>
      </c>
      <c r="K204" t="s">
        <v>2004</v>
      </c>
      <c r="N204" t="s">
        <v>2005</v>
      </c>
      <c r="O204" t="s">
        <v>2006</v>
      </c>
      <c r="Q204" t="s">
        <v>2007</v>
      </c>
      <c r="X204">
        <v>429704</v>
      </c>
      <c r="Y204" t="s">
        <v>2008</v>
      </c>
      <c r="Z204" t="s">
        <v>1329</v>
      </c>
      <c r="AA204" t="s">
        <v>42</v>
      </c>
      <c r="AB204" t="s">
        <v>221</v>
      </c>
    </row>
    <row r="205" spans="1:28" x14ac:dyDescent="0.2">
      <c r="A205" t="s">
        <v>2009</v>
      </c>
      <c r="B205" t="s">
        <v>2010</v>
      </c>
      <c r="C205" t="s">
        <v>2011</v>
      </c>
      <c r="D205" t="s">
        <v>31</v>
      </c>
      <c r="F205" t="s">
        <v>32</v>
      </c>
      <c r="G205" s="1">
        <v>44562</v>
      </c>
      <c r="H205" t="s">
        <v>67</v>
      </c>
      <c r="I205" t="s">
        <v>2012</v>
      </c>
      <c r="J205" t="s">
        <v>2012</v>
      </c>
      <c r="K205" t="s">
        <v>2013</v>
      </c>
      <c r="N205" t="s">
        <v>2014</v>
      </c>
      <c r="Q205" t="s">
        <v>2015</v>
      </c>
      <c r="X205">
        <v>459113</v>
      </c>
      <c r="Y205" t="s">
        <v>2016</v>
      </c>
      <c r="Z205" t="s">
        <v>1329</v>
      </c>
      <c r="AA205" t="s">
        <v>42</v>
      </c>
      <c r="AB205" t="s">
        <v>221</v>
      </c>
    </row>
    <row r="206" spans="1:28" x14ac:dyDescent="0.2">
      <c r="A206" t="s">
        <v>2017</v>
      </c>
      <c r="B206" t="s">
        <v>2018</v>
      </c>
      <c r="C206" t="s">
        <v>2019</v>
      </c>
      <c r="D206" t="s">
        <v>135</v>
      </c>
      <c r="F206" t="s">
        <v>32</v>
      </c>
      <c r="G206" s="1">
        <v>42005</v>
      </c>
      <c r="H206" t="s">
        <v>67</v>
      </c>
      <c r="I206" t="s">
        <v>2020</v>
      </c>
      <c r="J206" t="s">
        <v>2021</v>
      </c>
      <c r="K206" t="s">
        <v>2022</v>
      </c>
      <c r="L206" t="s">
        <v>59</v>
      </c>
      <c r="M206" t="s">
        <v>59</v>
      </c>
      <c r="N206" t="s">
        <v>2023</v>
      </c>
      <c r="O206" t="s">
        <v>2024</v>
      </c>
      <c r="P206">
        <v>4921195989530</v>
      </c>
      <c r="Q206" t="s">
        <v>2025</v>
      </c>
      <c r="S206" s="1">
        <v>42196</v>
      </c>
      <c r="X206">
        <v>527428</v>
      </c>
      <c r="Y206" t="s">
        <v>2026</v>
      </c>
      <c r="Z206" t="s">
        <v>1329</v>
      </c>
      <c r="AA206" t="s">
        <v>42</v>
      </c>
    </row>
    <row r="207" spans="1:28" x14ac:dyDescent="0.2">
      <c r="A207" t="s">
        <v>2027</v>
      </c>
      <c r="B207" t="s">
        <v>2028</v>
      </c>
      <c r="C207" t="s">
        <v>2029</v>
      </c>
      <c r="D207" t="s">
        <v>31</v>
      </c>
      <c r="F207" t="s">
        <v>32</v>
      </c>
      <c r="G207" s="1">
        <v>41395</v>
      </c>
      <c r="H207" t="s">
        <v>67</v>
      </c>
      <c r="I207" t="s">
        <v>2030</v>
      </c>
      <c r="J207" t="s">
        <v>2031</v>
      </c>
      <c r="K207" t="s">
        <v>2032</v>
      </c>
      <c r="L207" t="s">
        <v>59</v>
      </c>
      <c r="M207" t="s">
        <v>59</v>
      </c>
      <c r="N207" t="s">
        <v>2033</v>
      </c>
      <c r="O207" t="s">
        <v>2034</v>
      </c>
      <c r="P207" t="s">
        <v>2035</v>
      </c>
      <c r="Q207" t="s">
        <v>2036</v>
      </c>
      <c r="S207" s="1">
        <v>42465</v>
      </c>
      <c r="X207">
        <v>556679</v>
      </c>
      <c r="Y207" t="s">
        <v>2037</v>
      </c>
      <c r="Z207" t="s">
        <v>1329</v>
      </c>
      <c r="AA207" t="s">
        <v>42</v>
      </c>
      <c r="AB207" t="s">
        <v>669</v>
      </c>
    </row>
    <row r="208" spans="1:28" x14ac:dyDescent="0.2">
      <c r="A208" t="s">
        <v>2038</v>
      </c>
      <c r="B208" t="s">
        <v>2039</v>
      </c>
      <c r="C208" t="s">
        <v>2040</v>
      </c>
      <c r="D208" t="s">
        <v>31</v>
      </c>
      <c r="F208" t="s">
        <v>32</v>
      </c>
      <c r="G208" s="1">
        <v>43273</v>
      </c>
      <c r="H208" t="s">
        <v>67</v>
      </c>
      <c r="I208" t="s">
        <v>2041</v>
      </c>
      <c r="J208" t="s">
        <v>2042</v>
      </c>
      <c r="K208" t="s">
        <v>2043</v>
      </c>
      <c r="L208" t="s">
        <v>59</v>
      </c>
      <c r="N208" t="s">
        <v>2044</v>
      </c>
      <c r="O208" t="s">
        <v>2045</v>
      </c>
      <c r="P208">
        <v>491728989459</v>
      </c>
      <c r="Q208" t="s">
        <v>2046</v>
      </c>
      <c r="X208">
        <v>560508</v>
      </c>
      <c r="Y208" t="s">
        <v>2047</v>
      </c>
      <c r="Z208" t="s">
        <v>1329</v>
      </c>
      <c r="AA208" t="s">
        <v>42</v>
      </c>
      <c r="AB208" t="s">
        <v>2048</v>
      </c>
    </row>
    <row r="209" spans="1:28" x14ac:dyDescent="0.2">
      <c r="A209" t="s">
        <v>2049</v>
      </c>
      <c r="B209" t="s">
        <v>2050</v>
      </c>
      <c r="C209" t="s">
        <v>2051</v>
      </c>
      <c r="D209" t="s">
        <v>31</v>
      </c>
      <c r="F209" t="s">
        <v>32</v>
      </c>
      <c r="G209" s="1">
        <v>36586</v>
      </c>
      <c r="H209" t="s">
        <v>33</v>
      </c>
      <c r="I209" t="s">
        <v>2052</v>
      </c>
      <c r="J209" t="s">
        <v>2053</v>
      </c>
      <c r="K209" t="s">
        <v>2054</v>
      </c>
      <c r="N209" t="s">
        <v>2055</v>
      </c>
      <c r="S209" s="1">
        <v>41670</v>
      </c>
      <c r="X209">
        <v>586014</v>
      </c>
      <c r="Y209" t="s">
        <v>2056</v>
      </c>
      <c r="Z209" t="s">
        <v>1329</v>
      </c>
      <c r="AA209" t="s">
        <v>42</v>
      </c>
      <c r="AB209" t="s">
        <v>211</v>
      </c>
    </row>
    <row r="210" spans="1:28" x14ac:dyDescent="0.2">
      <c r="A210" t="s">
        <v>2057</v>
      </c>
      <c r="B210" t="s">
        <v>2058</v>
      </c>
      <c r="C210" t="s">
        <v>2059</v>
      </c>
      <c r="D210" t="s">
        <v>31</v>
      </c>
      <c r="F210" t="s">
        <v>32</v>
      </c>
      <c r="G210" s="1">
        <v>42370</v>
      </c>
      <c r="H210" t="s">
        <v>67</v>
      </c>
      <c r="I210" t="s">
        <v>2060</v>
      </c>
      <c r="J210" t="s">
        <v>2060</v>
      </c>
      <c r="K210" t="s">
        <v>2061</v>
      </c>
      <c r="L210" t="s">
        <v>59</v>
      </c>
      <c r="N210" t="s">
        <v>2062</v>
      </c>
      <c r="P210" t="s">
        <v>2063</v>
      </c>
      <c r="X210">
        <v>620714</v>
      </c>
      <c r="Y210" t="s">
        <v>2064</v>
      </c>
      <c r="Z210" t="s">
        <v>1329</v>
      </c>
      <c r="AA210" t="s">
        <v>42</v>
      </c>
    </row>
    <row r="211" spans="1:28" x14ac:dyDescent="0.2">
      <c r="A211" t="s">
        <v>2065</v>
      </c>
      <c r="B211" t="s">
        <v>2066</v>
      </c>
      <c r="C211" t="s">
        <v>2067</v>
      </c>
      <c r="D211" t="s">
        <v>135</v>
      </c>
      <c r="F211" t="s">
        <v>32</v>
      </c>
      <c r="G211" s="1">
        <v>39661</v>
      </c>
      <c r="H211" t="s">
        <v>67</v>
      </c>
      <c r="I211" t="s">
        <v>2068</v>
      </c>
      <c r="J211" t="s">
        <v>2069</v>
      </c>
      <c r="L211" t="s">
        <v>59</v>
      </c>
      <c r="N211" t="s">
        <v>2070</v>
      </c>
      <c r="O211" t="s">
        <v>2071</v>
      </c>
      <c r="P211" t="s">
        <v>2072</v>
      </c>
      <c r="X211">
        <v>4405994</v>
      </c>
      <c r="Y211" t="s">
        <v>2073</v>
      </c>
      <c r="Z211" t="s">
        <v>2074</v>
      </c>
      <c r="AA211" t="s">
        <v>1214</v>
      </c>
    </row>
    <row r="212" spans="1:28" x14ac:dyDescent="0.2">
      <c r="A212" t="s">
        <v>2075</v>
      </c>
      <c r="B212" t="s">
        <v>2076</v>
      </c>
      <c r="C212" s="2" t="s">
        <v>2077</v>
      </c>
      <c r="D212" t="s">
        <v>135</v>
      </c>
      <c r="F212" t="s">
        <v>32</v>
      </c>
      <c r="H212" t="s">
        <v>67</v>
      </c>
      <c r="I212" t="s">
        <v>2078</v>
      </c>
      <c r="J212" t="s">
        <v>2079</v>
      </c>
      <c r="M212" t="s">
        <v>59</v>
      </c>
      <c r="N212" t="s">
        <v>2080</v>
      </c>
      <c r="O212" t="s">
        <v>2081</v>
      </c>
      <c r="X212">
        <v>4406658</v>
      </c>
      <c r="Y212" t="s">
        <v>2082</v>
      </c>
      <c r="Z212" t="s">
        <v>2083</v>
      </c>
      <c r="AA212" t="s">
        <v>821</v>
      </c>
    </row>
    <row r="213" spans="1:28" x14ac:dyDescent="0.2">
      <c r="A213" t="s">
        <v>2084</v>
      </c>
      <c r="B213" t="s">
        <v>2085</v>
      </c>
      <c r="C213" t="s">
        <v>2086</v>
      </c>
      <c r="D213" t="s">
        <v>31</v>
      </c>
      <c r="F213" t="s">
        <v>32</v>
      </c>
      <c r="H213" t="s">
        <v>33</v>
      </c>
      <c r="I213" t="s">
        <v>2087</v>
      </c>
      <c r="J213" t="s">
        <v>2088</v>
      </c>
      <c r="K213" t="s">
        <v>2089</v>
      </c>
      <c r="N213" t="s">
        <v>2090</v>
      </c>
      <c r="X213">
        <v>4407789</v>
      </c>
      <c r="Y213" t="s">
        <v>2091</v>
      </c>
    </row>
    <row r="214" spans="1:28" x14ac:dyDescent="0.2">
      <c r="A214" t="s">
        <v>2092</v>
      </c>
      <c r="B214" t="s">
        <v>2093</v>
      </c>
      <c r="C214" t="s">
        <v>2094</v>
      </c>
      <c r="D214" t="s">
        <v>31</v>
      </c>
      <c r="F214" t="s">
        <v>32</v>
      </c>
      <c r="G214" s="1">
        <v>36412</v>
      </c>
      <c r="H214" t="s">
        <v>33</v>
      </c>
      <c r="I214" t="s">
        <v>2095</v>
      </c>
      <c r="J214" t="s">
        <v>2096</v>
      </c>
      <c r="K214" t="s">
        <v>2097</v>
      </c>
      <c r="N214" t="s">
        <v>2098</v>
      </c>
      <c r="O214" t="s">
        <v>2099</v>
      </c>
      <c r="P214" t="s">
        <v>2100</v>
      </c>
      <c r="X214">
        <v>4408858</v>
      </c>
      <c r="Y214" t="s">
        <v>2101</v>
      </c>
    </row>
    <row r="215" spans="1:28" x14ac:dyDescent="0.2">
      <c r="A215" t="s">
        <v>2102</v>
      </c>
      <c r="B215" t="s">
        <v>2103</v>
      </c>
      <c r="C215" t="s">
        <v>2104</v>
      </c>
      <c r="D215" t="s">
        <v>31</v>
      </c>
      <c r="F215" t="s">
        <v>32</v>
      </c>
      <c r="G215" s="1">
        <v>2193</v>
      </c>
      <c r="H215" t="s">
        <v>67</v>
      </c>
      <c r="I215" t="s">
        <v>2105</v>
      </c>
      <c r="J215" t="s">
        <v>2106</v>
      </c>
      <c r="K215" t="s">
        <v>2107</v>
      </c>
      <c r="N215" t="s">
        <v>2108</v>
      </c>
      <c r="P215" t="s">
        <v>2109</v>
      </c>
      <c r="X215">
        <v>4410005</v>
      </c>
      <c r="Y215" t="s">
        <v>2110</v>
      </c>
      <c r="Z215" t="s">
        <v>2111</v>
      </c>
      <c r="AA215" t="s">
        <v>821</v>
      </c>
    </row>
    <row r="216" spans="1:28" x14ac:dyDescent="0.2">
      <c r="A216" t="s">
        <v>2112</v>
      </c>
      <c r="B216" t="s">
        <v>2113</v>
      </c>
      <c r="C216" t="s">
        <v>2114</v>
      </c>
      <c r="D216" t="s">
        <v>135</v>
      </c>
      <c r="F216" t="s">
        <v>32</v>
      </c>
      <c r="G216" s="1">
        <v>35065</v>
      </c>
      <c r="H216" t="s">
        <v>67</v>
      </c>
      <c r="I216" t="s">
        <v>2115</v>
      </c>
      <c r="J216" t="s">
        <v>2116</v>
      </c>
      <c r="K216" t="s">
        <v>2117</v>
      </c>
      <c r="N216" t="s">
        <v>2118</v>
      </c>
      <c r="O216" t="s">
        <v>2119</v>
      </c>
      <c r="P216" t="s">
        <v>2120</v>
      </c>
      <c r="X216">
        <v>4410270</v>
      </c>
      <c r="Y216" t="s">
        <v>2121</v>
      </c>
      <c r="Z216" t="s">
        <v>2122</v>
      </c>
      <c r="AA216" t="s">
        <v>821</v>
      </c>
    </row>
    <row r="217" spans="1:28" x14ac:dyDescent="0.2">
      <c r="A217" t="s">
        <v>2123</v>
      </c>
      <c r="B217" t="s">
        <v>2124</v>
      </c>
      <c r="C217" t="s">
        <v>2125</v>
      </c>
      <c r="D217" t="s">
        <v>31</v>
      </c>
      <c r="F217" t="s">
        <v>32</v>
      </c>
      <c r="G217" s="1">
        <v>39891</v>
      </c>
      <c r="H217" t="s">
        <v>67</v>
      </c>
      <c r="I217" t="s">
        <v>2126</v>
      </c>
      <c r="J217" t="s">
        <v>2127</v>
      </c>
      <c r="K217" t="s">
        <v>2128</v>
      </c>
      <c r="M217" t="s">
        <v>59</v>
      </c>
      <c r="N217" t="s">
        <v>2129</v>
      </c>
      <c r="O217" t="s">
        <v>2130</v>
      </c>
      <c r="P217" t="s">
        <v>2131</v>
      </c>
      <c r="X217">
        <v>4411065</v>
      </c>
      <c r="Y217" t="s">
        <v>2132</v>
      </c>
      <c r="Z217" t="s">
        <v>2133</v>
      </c>
      <c r="AA217" t="s">
        <v>2134</v>
      </c>
    </row>
    <row r="218" spans="1:28" x14ac:dyDescent="0.2">
      <c r="A218" t="s">
        <v>2135</v>
      </c>
      <c r="B218" t="s">
        <v>2136</v>
      </c>
      <c r="C218" t="s">
        <v>2137</v>
      </c>
      <c r="D218" t="s">
        <v>31</v>
      </c>
      <c r="F218" t="s">
        <v>32</v>
      </c>
      <c r="G218" s="1">
        <v>41975</v>
      </c>
      <c r="H218" t="s">
        <v>67</v>
      </c>
      <c r="I218" t="s">
        <v>2138</v>
      </c>
      <c r="J218" t="s">
        <v>2139</v>
      </c>
      <c r="N218" t="s">
        <v>2140</v>
      </c>
      <c r="O218" t="s">
        <v>2141</v>
      </c>
      <c r="P218" t="s">
        <v>2142</v>
      </c>
      <c r="X218">
        <v>4411367</v>
      </c>
      <c r="Y218" t="s">
        <v>2143</v>
      </c>
      <c r="Z218" t="s">
        <v>2133</v>
      </c>
      <c r="AA218" t="s">
        <v>2134</v>
      </c>
    </row>
    <row r="219" spans="1:28" x14ac:dyDescent="0.2">
      <c r="A219" t="s">
        <v>2144</v>
      </c>
      <c r="B219" t="s">
        <v>2145</v>
      </c>
      <c r="C219" t="s">
        <v>2146</v>
      </c>
      <c r="D219" t="s">
        <v>31</v>
      </c>
      <c r="F219" t="s">
        <v>32</v>
      </c>
      <c r="G219" s="1">
        <v>34335</v>
      </c>
      <c r="H219" t="s">
        <v>67</v>
      </c>
      <c r="I219" t="s">
        <v>2147</v>
      </c>
      <c r="J219" t="s">
        <v>2148</v>
      </c>
      <c r="N219" t="s">
        <v>2149</v>
      </c>
      <c r="O219" t="s">
        <v>2150</v>
      </c>
      <c r="P219" t="s">
        <v>2151</v>
      </c>
      <c r="X219">
        <v>4411520</v>
      </c>
      <c r="Y219" t="s">
        <v>2152</v>
      </c>
      <c r="Z219" t="s">
        <v>2133</v>
      </c>
      <c r="AA219" t="s">
        <v>2134</v>
      </c>
    </row>
    <row r="220" spans="1:28" x14ac:dyDescent="0.2">
      <c r="A220" t="s">
        <v>2153</v>
      </c>
      <c r="B220" t="s">
        <v>2154</v>
      </c>
      <c r="C220" t="s">
        <v>2155</v>
      </c>
      <c r="D220" t="s">
        <v>31</v>
      </c>
      <c r="F220" t="s">
        <v>32</v>
      </c>
      <c r="G220" s="1">
        <v>41585</v>
      </c>
      <c r="H220" t="s">
        <v>67</v>
      </c>
      <c r="I220" t="s">
        <v>2156</v>
      </c>
      <c r="J220" t="s">
        <v>2157</v>
      </c>
      <c r="K220" t="s">
        <v>2158</v>
      </c>
      <c r="N220" t="s">
        <v>2159</v>
      </c>
      <c r="O220" t="s">
        <v>2160</v>
      </c>
      <c r="P220">
        <v>37256936772</v>
      </c>
      <c r="X220">
        <v>4411528</v>
      </c>
      <c r="Y220" t="s">
        <v>2161</v>
      </c>
    </row>
    <row r="221" spans="1:28" x14ac:dyDescent="0.2">
      <c r="A221" t="s">
        <v>2162</v>
      </c>
      <c r="B221" t="s">
        <v>2163</v>
      </c>
      <c r="C221" t="s">
        <v>2164</v>
      </c>
      <c r="D221" t="s">
        <v>31</v>
      </c>
      <c r="F221" t="s">
        <v>32</v>
      </c>
      <c r="G221" s="1">
        <v>43076</v>
      </c>
      <c r="H221" t="s">
        <v>67</v>
      </c>
      <c r="I221" t="s">
        <v>2165</v>
      </c>
      <c r="J221" t="s">
        <v>2166</v>
      </c>
      <c r="N221" t="s">
        <v>2167</v>
      </c>
      <c r="O221" t="s">
        <v>2168</v>
      </c>
      <c r="X221">
        <v>4412763</v>
      </c>
      <c r="Y221" t="s">
        <v>2169</v>
      </c>
      <c r="Z221" t="s">
        <v>2133</v>
      </c>
      <c r="AA221" t="s">
        <v>2134</v>
      </c>
    </row>
    <row r="222" spans="1:28" x14ac:dyDescent="0.2">
      <c r="A222" t="s">
        <v>2170</v>
      </c>
      <c r="B222" t="s">
        <v>2171</v>
      </c>
      <c r="C222" t="s">
        <v>2172</v>
      </c>
      <c r="D222" t="s">
        <v>31</v>
      </c>
      <c r="F222" t="s">
        <v>32</v>
      </c>
      <c r="H222" t="s">
        <v>67</v>
      </c>
      <c r="I222" t="s">
        <v>2173</v>
      </c>
      <c r="J222" t="s">
        <v>2174</v>
      </c>
      <c r="N222" t="s">
        <v>2175</v>
      </c>
      <c r="O222" t="s">
        <v>2176</v>
      </c>
      <c r="P222" t="s">
        <v>2177</v>
      </c>
      <c r="X222">
        <v>4413080</v>
      </c>
      <c r="Y222" t="s">
        <v>2178</v>
      </c>
    </row>
    <row r="223" spans="1:28" x14ac:dyDescent="0.2">
      <c r="A223" t="s">
        <v>2179</v>
      </c>
      <c r="B223" t="s">
        <v>2180</v>
      </c>
      <c r="C223" t="s">
        <v>2181</v>
      </c>
      <c r="D223" t="s">
        <v>31</v>
      </c>
      <c r="F223" t="s">
        <v>32</v>
      </c>
      <c r="G223" s="1">
        <v>42576</v>
      </c>
      <c r="H223" t="s">
        <v>67</v>
      </c>
      <c r="I223" t="s">
        <v>2182</v>
      </c>
      <c r="J223" t="s">
        <v>2183</v>
      </c>
      <c r="N223" t="s">
        <v>2184</v>
      </c>
      <c r="O223" t="s">
        <v>2185</v>
      </c>
      <c r="P223" t="s">
        <v>2186</v>
      </c>
      <c r="X223">
        <v>4413665</v>
      </c>
      <c r="Y223" t="s">
        <v>2187</v>
      </c>
      <c r="Z223" t="s">
        <v>2133</v>
      </c>
      <c r="AA223" t="s">
        <v>2134</v>
      </c>
    </row>
    <row r="224" spans="1:28" x14ac:dyDescent="0.2">
      <c r="A224" t="s">
        <v>2188</v>
      </c>
      <c r="B224" t="s">
        <v>2189</v>
      </c>
      <c r="C224" t="s">
        <v>2190</v>
      </c>
      <c r="D224" t="s">
        <v>31</v>
      </c>
      <c r="F224" t="s">
        <v>32</v>
      </c>
      <c r="G224" s="1">
        <v>41744</v>
      </c>
      <c r="H224" t="s">
        <v>67</v>
      </c>
      <c r="I224" t="s">
        <v>2191</v>
      </c>
      <c r="J224" t="s">
        <v>2192</v>
      </c>
      <c r="K224" t="s">
        <v>2193</v>
      </c>
      <c r="M224" t="s">
        <v>59</v>
      </c>
      <c r="N224" t="s">
        <v>2194</v>
      </c>
      <c r="O224" t="s">
        <v>2195</v>
      </c>
      <c r="P224" t="s">
        <v>2196</v>
      </c>
      <c r="X224">
        <v>4413745</v>
      </c>
      <c r="Y224" t="s">
        <v>2197</v>
      </c>
      <c r="Z224" t="s">
        <v>2133</v>
      </c>
      <c r="AA224" t="s">
        <v>2134</v>
      </c>
    </row>
    <row r="225" spans="1:28" x14ac:dyDescent="0.2">
      <c r="A225" t="s">
        <v>2198</v>
      </c>
      <c r="B225" t="s">
        <v>2199</v>
      </c>
      <c r="C225" t="s">
        <v>2200</v>
      </c>
      <c r="D225" t="s">
        <v>31</v>
      </c>
      <c r="F225" t="s">
        <v>32</v>
      </c>
      <c r="G225" s="1">
        <v>45867</v>
      </c>
      <c r="H225" t="s">
        <v>67</v>
      </c>
      <c r="I225" t="s">
        <v>2201</v>
      </c>
      <c r="J225" t="s">
        <v>2202</v>
      </c>
      <c r="N225" t="s">
        <v>2203</v>
      </c>
      <c r="O225" t="s">
        <v>2204</v>
      </c>
      <c r="P225">
        <v>1234567890</v>
      </c>
      <c r="X225">
        <v>4413959</v>
      </c>
      <c r="Y225" t="s">
        <v>2205</v>
      </c>
      <c r="Z225" t="s">
        <v>1097</v>
      </c>
      <c r="AA225" t="s">
        <v>888</v>
      </c>
    </row>
    <row r="226" spans="1:28" x14ac:dyDescent="0.2">
      <c r="A226" t="s">
        <v>2206</v>
      </c>
      <c r="B226" t="s">
        <v>2207</v>
      </c>
      <c r="C226" t="s">
        <v>2208</v>
      </c>
      <c r="D226" t="s">
        <v>31</v>
      </c>
      <c r="F226" t="s">
        <v>32</v>
      </c>
      <c r="G226" s="1">
        <v>39814</v>
      </c>
      <c r="H226" t="s">
        <v>67</v>
      </c>
      <c r="I226" t="s">
        <v>2209</v>
      </c>
      <c r="J226" t="s">
        <v>2210</v>
      </c>
      <c r="N226" t="s">
        <v>2211</v>
      </c>
      <c r="O226" t="s">
        <v>2212</v>
      </c>
      <c r="P226" t="s">
        <v>2213</v>
      </c>
      <c r="X226">
        <v>4414206</v>
      </c>
      <c r="Y226" t="s">
        <v>2214</v>
      </c>
      <c r="Z226" t="s">
        <v>2215</v>
      </c>
      <c r="AA226" t="s">
        <v>821</v>
      </c>
    </row>
    <row r="227" spans="1:28" x14ac:dyDescent="0.2">
      <c r="A227" t="s">
        <v>2216</v>
      </c>
      <c r="B227" t="s">
        <v>2217</v>
      </c>
      <c r="C227" t="s">
        <v>2218</v>
      </c>
      <c r="D227" t="s">
        <v>31</v>
      </c>
      <c r="F227" t="s">
        <v>32</v>
      </c>
      <c r="G227" s="1">
        <v>43644</v>
      </c>
      <c r="H227" t="s">
        <v>67</v>
      </c>
      <c r="I227" t="s">
        <v>2219</v>
      </c>
      <c r="J227" t="s">
        <v>2220</v>
      </c>
      <c r="N227" t="s">
        <v>2221</v>
      </c>
      <c r="O227" t="s">
        <v>2222</v>
      </c>
      <c r="P227" t="s">
        <v>2223</v>
      </c>
      <c r="X227">
        <v>4415076</v>
      </c>
      <c r="Y227" t="s">
        <v>2224</v>
      </c>
      <c r="Z227" t="s">
        <v>2133</v>
      </c>
      <c r="AA227" t="s">
        <v>2134</v>
      </c>
    </row>
    <row r="228" spans="1:28" x14ac:dyDescent="0.2">
      <c r="A228" t="s">
        <v>2225</v>
      </c>
      <c r="B228" t="s">
        <v>2226</v>
      </c>
      <c r="C228" t="s">
        <v>2227</v>
      </c>
      <c r="D228" t="s">
        <v>31</v>
      </c>
      <c r="F228" t="s">
        <v>32</v>
      </c>
      <c r="G228" s="1">
        <v>36052</v>
      </c>
      <c r="H228" t="s">
        <v>67</v>
      </c>
      <c r="I228" t="s">
        <v>2228</v>
      </c>
      <c r="J228" t="s">
        <v>2229</v>
      </c>
      <c r="N228" t="s">
        <v>2230</v>
      </c>
      <c r="O228" t="s">
        <v>2231</v>
      </c>
      <c r="P228" t="s">
        <v>2232</v>
      </c>
      <c r="X228">
        <v>4416215</v>
      </c>
      <c r="Y228" t="s">
        <v>2233</v>
      </c>
      <c r="Z228" t="s">
        <v>2234</v>
      </c>
      <c r="AA228" t="s">
        <v>2134</v>
      </c>
    </row>
    <row r="229" spans="1:28" x14ac:dyDescent="0.2">
      <c r="A229" t="s">
        <v>2235</v>
      </c>
      <c r="B229" t="s">
        <v>2236</v>
      </c>
      <c r="C229" t="s">
        <v>2237</v>
      </c>
      <c r="D229" t="s">
        <v>31</v>
      </c>
      <c r="F229" t="s">
        <v>32</v>
      </c>
      <c r="G229" s="1">
        <v>41074</v>
      </c>
      <c r="H229" t="s">
        <v>33</v>
      </c>
      <c r="I229" t="s">
        <v>2238</v>
      </c>
      <c r="J229" t="s">
        <v>2239</v>
      </c>
      <c r="N229" t="s">
        <v>2240</v>
      </c>
      <c r="O229" t="s">
        <v>2241</v>
      </c>
      <c r="P229" t="s">
        <v>2242</v>
      </c>
      <c r="X229">
        <v>4416733</v>
      </c>
      <c r="Y229" t="s">
        <v>2243</v>
      </c>
    </row>
    <row r="230" spans="1:28" x14ac:dyDescent="0.2">
      <c r="A230" t="s">
        <v>2244</v>
      </c>
      <c r="B230" t="s">
        <v>2245</v>
      </c>
      <c r="C230" t="s">
        <v>2246</v>
      </c>
      <c r="D230" t="s">
        <v>31</v>
      </c>
      <c r="F230" t="s">
        <v>32</v>
      </c>
      <c r="G230" s="1">
        <v>44067</v>
      </c>
      <c r="H230" t="s">
        <v>67</v>
      </c>
      <c r="I230" t="s">
        <v>2247</v>
      </c>
      <c r="J230" t="s">
        <v>2248</v>
      </c>
      <c r="N230" t="s">
        <v>2249</v>
      </c>
      <c r="O230" t="s">
        <v>2250</v>
      </c>
      <c r="P230" t="s">
        <v>2251</v>
      </c>
      <c r="X230">
        <v>4417099</v>
      </c>
      <c r="Y230" t="s">
        <v>2252</v>
      </c>
      <c r="Z230" t="s">
        <v>1097</v>
      </c>
      <c r="AA230" t="s">
        <v>888</v>
      </c>
    </row>
    <row r="231" spans="1:28" x14ac:dyDescent="0.2">
      <c r="A231" t="s">
        <v>2253</v>
      </c>
      <c r="B231" t="s">
        <v>2254</v>
      </c>
      <c r="C231" t="s">
        <v>2255</v>
      </c>
      <c r="D231" t="s">
        <v>31</v>
      </c>
      <c r="F231" t="s">
        <v>32</v>
      </c>
      <c r="G231" s="1">
        <v>35754</v>
      </c>
      <c r="H231" t="s">
        <v>33</v>
      </c>
      <c r="I231" t="s">
        <v>2256</v>
      </c>
      <c r="J231" t="s">
        <v>2257</v>
      </c>
      <c r="N231" t="s">
        <v>2258</v>
      </c>
      <c r="O231" t="s">
        <v>2259</v>
      </c>
      <c r="P231" t="s">
        <v>2260</v>
      </c>
      <c r="X231">
        <v>4417325</v>
      </c>
      <c r="Y231" t="s">
        <v>2261</v>
      </c>
    </row>
    <row r="232" spans="1:28" x14ac:dyDescent="0.2">
      <c r="A232" t="s">
        <v>2262</v>
      </c>
      <c r="B232" t="s">
        <v>2263</v>
      </c>
      <c r="C232" t="s">
        <v>2264</v>
      </c>
      <c r="D232" t="s">
        <v>31</v>
      </c>
      <c r="F232" t="s">
        <v>32</v>
      </c>
      <c r="G232" s="1">
        <v>32509</v>
      </c>
      <c r="H232" t="s">
        <v>33</v>
      </c>
      <c r="I232" t="s">
        <v>2265</v>
      </c>
      <c r="J232" t="s">
        <v>2265</v>
      </c>
      <c r="K232" t="s">
        <v>2266</v>
      </c>
      <c r="N232" t="s">
        <v>2267</v>
      </c>
      <c r="O232" t="s">
        <v>2268</v>
      </c>
      <c r="P232" t="s">
        <v>2269</v>
      </c>
      <c r="X232">
        <v>4418144</v>
      </c>
      <c r="Y232" t="s">
        <v>2270</v>
      </c>
      <c r="Z232" t="s">
        <v>2271</v>
      </c>
      <c r="AA232" t="s">
        <v>2272</v>
      </c>
    </row>
    <row r="233" spans="1:28" x14ac:dyDescent="0.2">
      <c r="A233" t="s">
        <v>2273</v>
      </c>
      <c r="B233" t="s">
        <v>2274</v>
      </c>
      <c r="C233" t="s">
        <v>2275</v>
      </c>
      <c r="D233" t="s">
        <v>135</v>
      </c>
      <c r="F233" t="s">
        <v>32</v>
      </c>
      <c r="G233" s="1">
        <v>30682</v>
      </c>
      <c r="H233" t="s">
        <v>33</v>
      </c>
      <c r="I233" t="s">
        <v>2276</v>
      </c>
      <c r="J233" t="s">
        <v>2277</v>
      </c>
      <c r="K233" t="s">
        <v>2278</v>
      </c>
      <c r="M233" t="s">
        <v>59</v>
      </c>
      <c r="N233" t="s">
        <v>2279</v>
      </c>
      <c r="O233" t="s">
        <v>2280</v>
      </c>
      <c r="P233" t="s">
        <v>2281</v>
      </c>
      <c r="X233">
        <v>4419434</v>
      </c>
      <c r="Y233" t="s">
        <v>2282</v>
      </c>
      <c r="Z233" t="s">
        <v>2283</v>
      </c>
      <c r="AA233" t="s">
        <v>821</v>
      </c>
      <c r="AB233" t="s">
        <v>2284</v>
      </c>
    </row>
    <row r="234" spans="1:28" x14ac:dyDescent="0.2">
      <c r="A234" t="s">
        <v>2285</v>
      </c>
      <c r="B234" t="s">
        <v>2286</v>
      </c>
      <c r="C234" t="s">
        <v>2287</v>
      </c>
      <c r="D234" t="s">
        <v>135</v>
      </c>
      <c r="F234" t="s">
        <v>32</v>
      </c>
      <c r="G234" s="1">
        <v>40969</v>
      </c>
      <c r="H234" t="s">
        <v>33</v>
      </c>
      <c r="I234" t="s">
        <v>2288</v>
      </c>
      <c r="J234" t="s">
        <v>2289</v>
      </c>
      <c r="K234" t="s">
        <v>2290</v>
      </c>
      <c r="L234" t="s">
        <v>59</v>
      </c>
      <c r="M234" t="s">
        <v>59</v>
      </c>
      <c r="N234" t="s">
        <v>2291</v>
      </c>
      <c r="O234" t="s">
        <v>2292</v>
      </c>
      <c r="X234">
        <v>4420284</v>
      </c>
      <c r="Y234" t="s">
        <v>2293</v>
      </c>
      <c r="Z234" t="s">
        <v>2294</v>
      </c>
      <c r="AA234" t="s">
        <v>821</v>
      </c>
    </row>
    <row r="235" spans="1:28" x14ac:dyDescent="0.2">
      <c r="A235" t="s">
        <v>2295</v>
      </c>
      <c r="B235" t="s">
        <v>2296</v>
      </c>
      <c r="C235" t="s">
        <v>2297</v>
      </c>
      <c r="D235" t="s">
        <v>135</v>
      </c>
      <c r="F235" t="s">
        <v>32</v>
      </c>
      <c r="G235" s="1">
        <v>41275</v>
      </c>
      <c r="H235" t="s">
        <v>67</v>
      </c>
      <c r="I235" t="s">
        <v>2298</v>
      </c>
      <c r="J235" t="s">
        <v>2299</v>
      </c>
      <c r="N235" t="s">
        <v>2300</v>
      </c>
      <c r="S235" s="1">
        <v>41843</v>
      </c>
      <c r="X235">
        <v>4420325</v>
      </c>
      <c r="Y235" t="s">
        <v>2301</v>
      </c>
      <c r="Z235" t="s">
        <v>2302</v>
      </c>
      <c r="AA235" t="s">
        <v>42</v>
      </c>
    </row>
    <row r="236" spans="1:28" x14ac:dyDescent="0.2">
      <c r="A236" t="s">
        <v>2303</v>
      </c>
      <c r="B236" t="s">
        <v>2304</v>
      </c>
      <c r="C236" t="s">
        <v>2305</v>
      </c>
      <c r="D236" t="s">
        <v>135</v>
      </c>
      <c r="F236" t="s">
        <v>32</v>
      </c>
      <c r="G236" s="1">
        <v>43769</v>
      </c>
      <c r="H236" t="s">
        <v>67</v>
      </c>
      <c r="I236" t="s">
        <v>2306</v>
      </c>
      <c r="J236" t="s">
        <v>2307</v>
      </c>
      <c r="K236" t="s">
        <v>2308</v>
      </c>
      <c r="L236" t="s">
        <v>59</v>
      </c>
      <c r="M236" t="s">
        <v>59</v>
      </c>
      <c r="N236" t="s">
        <v>2309</v>
      </c>
      <c r="O236" t="s">
        <v>2310</v>
      </c>
      <c r="P236" t="s">
        <v>2311</v>
      </c>
      <c r="Q236" t="s">
        <v>2312</v>
      </c>
      <c r="X236">
        <v>4423037</v>
      </c>
      <c r="Y236" t="s">
        <v>2313</v>
      </c>
      <c r="Z236" t="s">
        <v>2314</v>
      </c>
      <c r="AA236" t="s">
        <v>821</v>
      </c>
    </row>
    <row r="237" spans="1:28" x14ac:dyDescent="0.2">
      <c r="A237" t="s">
        <v>2315</v>
      </c>
      <c r="B237" t="s">
        <v>2316</v>
      </c>
      <c r="C237" t="s">
        <v>2317</v>
      </c>
      <c r="D237" t="s">
        <v>135</v>
      </c>
      <c r="F237" t="s">
        <v>32</v>
      </c>
      <c r="G237" s="1">
        <v>42917</v>
      </c>
      <c r="H237" t="s">
        <v>67</v>
      </c>
      <c r="I237" t="s">
        <v>2318</v>
      </c>
      <c r="J237" t="s">
        <v>2319</v>
      </c>
      <c r="L237" t="s">
        <v>59</v>
      </c>
      <c r="N237" t="s">
        <v>2320</v>
      </c>
      <c r="O237" t="s">
        <v>2321</v>
      </c>
      <c r="P237">
        <v>3232535670</v>
      </c>
      <c r="X237">
        <v>4423448</v>
      </c>
      <c r="Y237" t="s">
        <v>2322</v>
      </c>
      <c r="Z237" t="s">
        <v>2323</v>
      </c>
      <c r="AA237" t="s">
        <v>821</v>
      </c>
    </row>
    <row r="238" spans="1:28" x14ac:dyDescent="0.2">
      <c r="A238" t="s">
        <v>2324</v>
      </c>
      <c r="B238" t="s">
        <v>2325</v>
      </c>
      <c r="C238" t="s">
        <v>2326</v>
      </c>
      <c r="D238" t="s">
        <v>135</v>
      </c>
      <c r="F238" t="s">
        <v>32</v>
      </c>
      <c r="G238" s="1">
        <v>44425</v>
      </c>
      <c r="H238" t="s">
        <v>33</v>
      </c>
      <c r="I238" t="s">
        <v>2327</v>
      </c>
      <c r="J238" t="s">
        <v>2328</v>
      </c>
      <c r="K238" t="s">
        <v>2329</v>
      </c>
      <c r="L238" t="s">
        <v>59</v>
      </c>
      <c r="M238" t="s">
        <v>59</v>
      </c>
      <c r="N238" t="s">
        <v>2330</v>
      </c>
      <c r="O238" t="s">
        <v>2331</v>
      </c>
      <c r="X238">
        <v>4423607</v>
      </c>
      <c r="Y238" t="s">
        <v>2332</v>
      </c>
      <c r="Z238" t="s">
        <v>2333</v>
      </c>
      <c r="AA238" t="s">
        <v>876</v>
      </c>
    </row>
    <row r="239" spans="1:28" x14ac:dyDescent="0.2">
      <c r="A239" t="s">
        <v>2334</v>
      </c>
      <c r="B239" t="s">
        <v>2335</v>
      </c>
      <c r="C239" t="s">
        <v>2336</v>
      </c>
      <c r="D239" t="s">
        <v>31</v>
      </c>
      <c r="F239" t="s">
        <v>32</v>
      </c>
      <c r="G239" s="1">
        <v>36161</v>
      </c>
      <c r="H239" t="s">
        <v>67</v>
      </c>
      <c r="I239" t="s">
        <v>2337</v>
      </c>
      <c r="J239" t="s">
        <v>2338</v>
      </c>
      <c r="K239" t="s">
        <v>2339</v>
      </c>
      <c r="N239" t="s">
        <v>2340</v>
      </c>
      <c r="O239" t="s">
        <v>2341</v>
      </c>
      <c r="P239">
        <f>1-305-885-8243</f>
        <v>-9432</v>
      </c>
      <c r="X239">
        <v>4423711</v>
      </c>
      <c r="Y239" t="s">
        <v>2342</v>
      </c>
      <c r="Z239" t="s">
        <v>2343</v>
      </c>
      <c r="AA239" t="s">
        <v>821</v>
      </c>
    </row>
    <row r="240" spans="1:28" x14ac:dyDescent="0.2">
      <c r="A240" t="s">
        <v>2344</v>
      </c>
      <c r="B240" t="s">
        <v>2345</v>
      </c>
      <c r="C240" t="s">
        <v>2346</v>
      </c>
      <c r="D240" t="s">
        <v>135</v>
      </c>
      <c r="F240" t="s">
        <v>32</v>
      </c>
      <c r="G240" s="1">
        <v>40544</v>
      </c>
      <c r="H240" t="s">
        <v>67</v>
      </c>
      <c r="I240" t="s">
        <v>2347</v>
      </c>
      <c r="J240" t="s">
        <v>2348</v>
      </c>
      <c r="K240" t="s">
        <v>2349</v>
      </c>
      <c r="L240" t="s">
        <v>59</v>
      </c>
      <c r="M240" t="s">
        <v>59</v>
      </c>
      <c r="N240" t="s">
        <v>2350</v>
      </c>
      <c r="O240" t="s">
        <v>2351</v>
      </c>
      <c r="P240" t="s">
        <v>2352</v>
      </c>
      <c r="X240">
        <v>4423952</v>
      </c>
      <c r="Y240" t="s">
        <v>2353</v>
      </c>
      <c r="Z240" t="s">
        <v>1007</v>
      </c>
      <c r="AA240" t="s">
        <v>821</v>
      </c>
      <c r="AB240" t="s">
        <v>192</v>
      </c>
    </row>
    <row r="241" spans="1:27" x14ac:dyDescent="0.2">
      <c r="A241" t="s">
        <v>2354</v>
      </c>
      <c r="B241" t="s">
        <v>2355</v>
      </c>
      <c r="C241" t="s">
        <v>2356</v>
      </c>
      <c r="D241" t="s">
        <v>31</v>
      </c>
      <c r="F241" t="s">
        <v>32</v>
      </c>
      <c r="G241" s="1">
        <v>36602</v>
      </c>
      <c r="H241" t="s">
        <v>67</v>
      </c>
      <c r="I241" t="s">
        <v>2357</v>
      </c>
      <c r="J241" t="s">
        <v>2358</v>
      </c>
      <c r="N241" t="s">
        <v>2359</v>
      </c>
      <c r="O241" t="s">
        <v>2360</v>
      </c>
      <c r="P241" t="s">
        <v>2361</v>
      </c>
      <c r="X241">
        <v>4424067</v>
      </c>
      <c r="Y241" t="s">
        <v>2362</v>
      </c>
      <c r="Z241" t="s">
        <v>2133</v>
      </c>
      <c r="AA241" t="s">
        <v>2134</v>
      </c>
    </row>
    <row r="242" spans="1:27" x14ac:dyDescent="0.2">
      <c r="A242" t="s">
        <v>2363</v>
      </c>
      <c r="B242" t="s">
        <v>2364</v>
      </c>
      <c r="C242" t="s">
        <v>2365</v>
      </c>
      <c r="D242" t="s">
        <v>31</v>
      </c>
      <c r="F242" t="s">
        <v>32</v>
      </c>
      <c r="G242" s="1">
        <v>35272</v>
      </c>
      <c r="H242" t="s">
        <v>67</v>
      </c>
      <c r="I242" t="s">
        <v>2366</v>
      </c>
      <c r="J242" t="s">
        <v>2367</v>
      </c>
      <c r="N242" t="s">
        <v>2368</v>
      </c>
      <c r="O242" t="s">
        <v>2369</v>
      </c>
      <c r="P242" t="s">
        <v>2370</v>
      </c>
      <c r="X242">
        <v>4424134</v>
      </c>
      <c r="Y242" t="s">
        <v>2371</v>
      </c>
      <c r="Z242" t="s">
        <v>2372</v>
      </c>
      <c r="AA242" t="s">
        <v>2134</v>
      </c>
    </row>
    <row r="243" spans="1:27" x14ac:dyDescent="0.2">
      <c r="A243" t="s">
        <v>2373</v>
      </c>
      <c r="B243" t="s">
        <v>2374</v>
      </c>
      <c r="C243" t="s">
        <v>2375</v>
      </c>
      <c r="D243" t="s">
        <v>31</v>
      </c>
      <c r="F243" t="s">
        <v>32</v>
      </c>
      <c r="G243" s="1">
        <v>45701</v>
      </c>
      <c r="H243" t="s">
        <v>67</v>
      </c>
      <c r="I243" t="s">
        <v>2376</v>
      </c>
      <c r="J243" t="s">
        <v>2377</v>
      </c>
      <c r="N243" t="s">
        <v>2378</v>
      </c>
      <c r="O243" t="s">
        <v>2379</v>
      </c>
      <c r="P243" t="s">
        <v>2380</v>
      </c>
      <c r="X243">
        <v>4424193</v>
      </c>
      <c r="Y243" t="s">
        <v>2381</v>
      </c>
    </row>
    <row r="244" spans="1:27" x14ac:dyDescent="0.2">
      <c r="A244" t="s">
        <v>2382</v>
      </c>
      <c r="B244" t="s">
        <v>2383</v>
      </c>
      <c r="C244" t="s">
        <v>2384</v>
      </c>
      <c r="D244" t="s">
        <v>31</v>
      </c>
      <c r="F244" t="s">
        <v>32</v>
      </c>
      <c r="G244" s="1">
        <v>45637</v>
      </c>
      <c r="H244" t="s">
        <v>67</v>
      </c>
      <c r="I244" t="s">
        <v>2385</v>
      </c>
      <c r="J244" t="s">
        <v>2386</v>
      </c>
      <c r="K244" t="s">
        <v>2387</v>
      </c>
      <c r="N244" t="s">
        <v>2388</v>
      </c>
      <c r="O244" t="s">
        <v>2389</v>
      </c>
      <c r="X244">
        <v>4424247</v>
      </c>
      <c r="Y244" t="s">
        <v>2390</v>
      </c>
      <c r="Z244" t="s">
        <v>2133</v>
      </c>
      <c r="AA244" t="s">
        <v>2134</v>
      </c>
    </row>
    <row r="245" spans="1:27" x14ac:dyDescent="0.2">
      <c r="A245" t="s">
        <v>2391</v>
      </c>
      <c r="B245" t="s">
        <v>2392</v>
      </c>
      <c r="C245" t="s">
        <v>2393</v>
      </c>
      <c r="D245" t="s">
        <v>31</v>
      </c>
      <c r="F245" t="s">
        <v>32</v>
      </c>
      <c r="H245" t="s">
        <v>67</v>
      </c>
      <c r="I245" t="s">
        <v>2394</v>
      </c>
      <c r="J245" t="s">
        <v>2395</v>
      </c>
      <c r="N245" t="s">
        <v>2396</v>
      </c>
      <c r="P245">
        <f>91-7947154258</f>
        <v>-7947154167</v>
      </c>
      <c r="X245">
        <v>4424401</v>
      </c>
      <c r="Y245" t="s">
        <v>2397</v>
      </c>
      <c r="Z245" t="s">
        <v>2398</v>
      </c>
      <c r="AA245" t="s">
        <v>876</v>
      </c>
    </row>
    <row r="246" spans="1:27" x14ac:dyDescent="0.2">
      <c r="A246" t="s">
        <v>2399</v>
      </c>
      <c r="B246" t="s">
        <v>2400</v>
      </c>
      <c r="C246" t="s">
        <v>2401</v>
      </c>
      <c r="D246" t="s">
        <v>31</v>
      </c>
      <c r="F246" t="s">
        <v>32</v>
      </c>
      <c r="G246" s="1">
        <v>44562</v>
      </c>
      <c r="H246" t="s">
        <v>67</v>
      </c>
      <c r="I246" t="s">
        <v>2402</v>
      </c>
      <c r="J246" t="s">
        <v>2403</v>
      </c>
      <c r="K246" t="s">
        <v>2404</v>
      </c>
      <c r="N246" t="s">
        <v>2405</v>
      </c>
      <c r="O246" t="s">
        <v>2406</v>
      </c>
      <c r="P246" t="s">
        <v>2407</v>
      </c>
      <c r="X246">
        <v>4424417</v>
      </c>
      <c r="Y246" t="s">
        <v>2408</v>
      </c>
      <c r="Z246" t="s">
        <v>2409</v>
      </c>
      <c r="AA246" t="s">
        <v>2272</v>
      </c>
    </row>
    <row r="247" spans="1:27" x14ac:dyDescent="0.2">
      <c r="A247" t="s">
        <v>2410</v>
      </c>
      <c r="B247" t="s">
        <v>2411</v>
      </c>
      <c r="C247" t="s">
        <v>2412</v>
      </c>
      <c r="D247" t="s">
        <v>31</v>
      </c>
      <c r="F247" t="s">
        <v>32</v>
      </c>
      <c r="G247" s="1">
        <v>38625</v>
      </c>
      <c r="H247" t="s">
        <v>67</v>
      </c>
      <c r="I247" t="s">
        <v>2413</v>
      </c>
      <c r="J247" t="s">
        <v>2414</v>
      </c>
      <c r="N247" t="s">
        <v>2415</v>
      </c>
      <c r="O247" t="s">
        <v>2416</v>
      </c>
      <c r="P247" t="s">
        <v>2417</v>
      </c>
      <c r="X247">
        <v>4424486</v>
      </c>
      <c r="Y247" t="s">
        <v>2418</v>
      </c>
      <c r="Z247" t="s">
        <v>2372</v>
      </c>
      <c r="AA247" t="s">
        <v>2134</v>
      </c>
    </row>
    <row r="248" spans="1:27" x14ac:dyDescent="0.2">
      <c r="A248" t="s">
        <v>2419</v>
      </c>
      <c r="B248" t="s">
        <v>2420</v>
      </c>
      <c r="C248" t="s">
        <v>2421</v>
      </c>
      <c r="D248" t="s">
        <v>31</v>
      </c>
      <c r="F248" t="s">
        <v>32</v>
      </c>
      <c r="G248" s="1">
        <v>42878</v>
      </c>
      <c r="H248" t="s">
        <v>67</v>
      </c>
      <c r="I248" t="s">
        <v>2422</v>
      </c>
      <c r="J248" t="s">
        <v>2423</v>
      </c>
      <c r="M248" t="s">
        <v>59</v>
      </c>
      <c r="N248" t="s">
        <v>2424</v>
      </c>
      <c r="O248" t="s">
        <v>2425</v>
      </c>
      <c r="P248" t="s">
        <v>2426</v>
      </c>
      <c r="X248">
        <v>4424563</v>
      </c>
      <c r="Y248" t="s">
        <v>2427</v>
      </c>
    </row>
    <row r="249" spans="1:27" x14ac:dyDescent="0.2">
      <c r="A249" t="s">
        <v>2428</v>
      </c>
      <c r="B249" t="s">
        <v>2429</v>
      </c>
      <c r="C249" t="s">
        <v>2430</v>
      </c>
      <c r="D249" t="s">
        <v>31</v>
      </c>
      <c r="F249" t="s">
        <v>32</v>
      </c>
      <c r="G249" s="1">
        <v>42149</v>
      </c>
      <c r="H249" t="s">
        <v>67</v>
      </c>
      <c r="I249" t="s">
        <v>2431</v>
      </c>
      <c r="J249" t="s">
        <v>2432</v>
      </c>
      <c r="M249" t="s">
        <v>59</v>
      </c>
      <c r="N249" t="s">
        <v>2433</v>
      </c>
      <c r="O249" t="s">
        <v>2434</v>
      </c>
      <c r="P249" t="s">
        <v>2435</v>
      </c>
      <c r="X249">
        <v>4424694</v>
      </c>
      <c r="Y249" t="s">
        <v>2436</v>
      </c>
      <c r="Z249" t="s">
        <v>2133</v>
      </c>
      <c r="AA249" t="s">
        <v>2134</v>
      </c>
    </row>
    <row r="250" spans="1:27" x14ac:dyDescent="0.2">
      <c r="A250" t="s">
        <v>2437</v>
      </c>
      <c r="B250" t="s">
        <v>2438</v>
      </c>
      <c r="C250" t="s">
        <v>2439</v>
      </c>
      <c r="D250" t="s">
        <v>31</v>
      </c>
      <c r="F250" t="s">
        <v>32</v>
      </c>
      <c r="G250" s="1">
        <v>35212</v>
      </c>
      <c r="H250" t="s">
        <v>33</v>
      </c>
      <c r="I250" t="s">
        <v>2440</v>
      </c>
      <c r="J250" t="s">
        <v>2441</v>
      </c>
      <c r="M250" t="s">
        <v>59</v>
      </c>
      <c r="N250" t="s">
        <v>2442</v>
      </c>
      <c r="O250" t="s">
        <v>2443</v>
      </c>
      <c r="P250" t="s">
        <v>2444</v>
      </c>
      <c r="X250">
        <v>4424754</v>
      </c>
      <c r="Y250" t="s">
        <v>2445</v>
      </c>
      <c r="Z250" t="s">
        <v>2133</v>
      </c>
      <c r="AA250" t="s">
        <v>2134</v>
      </c>
    </row>
    <row r="251" spans="1:27" x14ac:dyDescent="0.2">
      <c r="A251" t="s">
        <v>2446</v>
      </c>
      <c r="B251" t="s">
        <v>2447</v>
      </c>
      <c r="C251" t="s">
        <v>2448</v>
      </c>
      <c r="D251" t="s">
        <v>31</v>
      </c>
      <c r="F251" t="s">
        <v>32</v>
      </c>
      <c r="G251" s="1">
        <v>45047</v>
      </c>
      <c r="H251" t="s">
        <v>67</v>
      </c>
      <c r="I251" t="s">
        <v>2449</v>
      </c>
      <c r="J251" t="s">
        <v>2450</v>
      </c>
      <c r="M251" t="s">
        <v>59</v>
      </c>
      <c r="N251" t="s">
        <v>2451</v>
      </c>
      <c r="O251" t="s">
        <v>2452</v>
      </c>
      <c r="P251" t="s">
        <v>2453</v>
      </c>
      <c r="X251">
        <v>4425229</v>
      </c>
      <c r="Y251" t="s">
        <v>2454</v>
      </c>
      <c r="Z251" t="s">
        <v>2133</v>
      </c>
      <c r="AA251" t="s">
        <v>2134</v>
      </c>
    </row>
    <row r="252" spans="1:27" x14ac:dyDescent="0.2">
      <c r="A252" t="s">
        <v>2455</v>
      </c>
      <c r="B252" t="s">
        <v>2456</v>
      </c>
      <c r="C252" t="s">
        <v>2457</v>
      </c>
      <c r="D252" t="s">
        <v>31</v>
      </c>
      <c r="F252" t="s">
        <v>32</v>
      </c>
      <c r="G252" s="1">
        <v>45785</v>
      </c>
      <c r="H252" t="s">
        <v>67</v>
      </c>
      <c r="I252" t="s">
        <v>2458</v>
      </c>
      <c r="J252" t="s">
        <v>2459</v>
      </c>
      <c r="K252" t="s">
        <v>2460</v>
      </c>
      <c r="N252" t="s">
        <v>2461</v>
      </c>
      <c r="X252">
        <v>4425705</v>
      </c>
      <c r="Y252" t="s">
        <v>2462</v>
      </c>
      <c r="Z252" t="s">
        <v>2463</v>
      </c>
      <c r="AA252" t="s">
        <v>888</v>
      </c>
    </row>
    <row r="253" spans="1:27" x14ac:dyDescent="0.2">
      <c r="A253" t="s">
        <v>2464</v>
      </c>
      <c r="B253" t="s">
        <v>2465</v>
      </c>
      <c r="C253" t="s">
        <v>2466</v>
      </c>
      <c r="D253" t="s">
        <v>31</v>
      </c>
      <c r="F253" t="s">
        <v>32</v>
      </c>
      <c r="G253" s="1">
        <v>41913</v>
      </c>
      <c r="H253" t="s">
        <v>67</v>
      </c>
      <c r="I253" t="s">
        <v>2467</v>
      </c>
      <c r="J253" t="s">
        <v>2468</v>
      </c>
      <c r="N253" t="s">
        <v>2469</v>
      </c>
      <c r="O253" t="s">
        <v>2470</v>
      </c>
      <c r="P253" t="s">
        <v>2471</v>
      </c>
      <c r="X253">
        <v>4425752</v>
      </c>
      <c r="Y253" t="s">
        <v>2472</v>
      </c>
      <c r="Z253" t="s">
        <v>2133</v>
      </c>
      <c r="AA253" t="s">
        <v>2134</v>
      </c>
    </row>
    <row r="254" spans="1:27" x14ac:dyDescent="0.2">
      <c r="A254" t="s">
        <v>2473</v>
      </c>
      <c r="B254" t="s">
        <v>2474</v>
      </c>
      <c r="C254" t="s">
        <v>2475</v>
      </c>
      <c r="D254" t="s">
        <v>31</v>
      </c>
      <c r="F254" t="s">
        <v>32</v>
      </c>
      <c r="G254" s="1">
        <v>34117</v>
      </c>
      <c r="H254" t="s">
        <v>33</v>
      </c>
      <c r="I254" t="s">
        <v>2476</v>
      </c>
      <c r="J254" t="s">
        <v>2477</v>
      </c>
      <c r="N254" t="s">
        <v>2478</v>
      </c>
      <c r="O254" t="s">
        <v>2479</v>
      </c>
      <c r="X254">
        <v>4425995</v>
      </c>
      <c r="Y254" t="s">
        <v>2480</v>
      </c>
      <c r="Z254" t="s">
        <v>2133</v>
      </c>
      <c r="AA254" t="s">
        <v>2134</v>
      </c>
    </row>
    <row r="255" spans="1:27" x14ac:dyDescent="0.2">
      <c r="A255" t="s">
        <v>2481</v>
      </c>
      <c r="B255" t="s">
        <v>2482</v>
      </c>
      <c r="C255" t="s">
        <v>2483</v>
      </c>
      <c r="D255" t="s">
        <v>31</v>
      </c>
      <c r="F255" t="s">
        <v>32</v>
      </c>
      <c r="G255" s="1">
        <v>46072</v>
      </c>
      <c r="H255" t="s">
        <v>67</v>
      </c>
      <c r="I255" t="s">
        <v>2484</v>
      </c>
      <c r="J255" t="s">
        <v>2485</v>
      </c>
      <c r="K255" t="s">
        <v>2486</v>
      </c>
      <c r="N255" t="s">
        <v>2487</v>
      </c>
      <c r="X255">
        <v>4426673</v>
      </c>
      <c r="Y255" t="s">
        <v>2488</v>
      </c>
      <c r="Z255" t="s">
        <v>2489</v>
      </c>
      <c r="AA255" t="s">
        <v>876</v>
      </c>
    </row>
    <row r="256" spans="1:27" x14ac:dyDescent="0.2">
      <c r="A256" t="s">
        <v>2490</v>
      </c>
      <c r="B256" t="s">
        <v>2491</v>
      </c>
      <c r="C256" t="s">
        <v>2492</v>
      </c>
      <c r="D256" t="s">
        <v>31</v>
      </c>
      <c r="F256" t="s">
        <v>32</v>
      </c>
      <c r="G256" s="1">
        <v>46126</v>
      </c>
      <c r="H256" t="s">
        <v>67</v>
      </c>
      <c r="I256" t="s">
        <v>2493</v>
      </c>
      <c r="J256" t="s">
        <v>2494</v>
      </c>
      <c r="N256" t="s">
        <v>2495</v>
      </c>
      <c r="X256">
        <v>4426703</v>
      </c>
      <c r="Y256" t="s">
        <v>2496</v>
      </c>
      <c r="Z256" t="s">
        <v>2497</v>
      </c>
      <c r="AA256" t="s">
        <v>888</v>
      </c>
    </row>
    <row r="257" spans="1:28" x14ac:dyDescent="0.2">
      <c r="A257" t="s">
        <v>2498</v>
      </c>
      <c r="B257" t="s">
        <v>2499</v>
      </c>
      <c r="C257" t="s">
        <v>2500</v>
      </c>
      <c r="D257" t="s">
        <v>31</v>
      </c>
      <c r="F257" t="s">
        <v>32</v>
      </c>
      <c r="G257" s="1">
        <v>39864</v>
      </c>
      <c r="H257" t="s">
        <v>67</v>
      </c>
      <c r="I257" t="s">
        <v>2501</v>
      </c>
      <c r="J257" t="s">
        <v>2502</v>
      </c>
      <c r="N257" t="s">
        <v>2503</v>
      </c>
      <c r="O257" t="s">
        <v>2504</v>
      </c>
      <c r="P257">
        <v>37256833326</v>
      </c>
      <c r="X257">
        <v>4428033</v>
      </c>
      <c r="Y257" t="s">
        <v>2505</v>
      </c>
      <c r="Z257" t="s">
        <v>2133</v>
      </c>
      <c r="AA257" t="s">
        <v>2134</v>
      </c>
    </row>
    <row r="258" spans="1:28" x14ac:dyDescent="0.2">
      <c r="A258" t="s">
        <v>2506</v>
      </c>
      <c r="B258" t="s">
        <v>2507</v>
      </c>
      <c r="C258" t="s">
        <v>2508</v>
      </c>
      <c r="D258" t="s">
        <v>31</v>
      </c>
      <c r="F258" t="s">
        <v>32</v>
      </c>
      <c r="G258" s="1">
        <v>38253</v>
      </c>
      <c r="H258" t="s">
        <v>67</v>
      </c>
      <c r="I258" t="s">
        <v>2509</v>
      </c>
      <c r="J258" t="s">
        <v>2510</v>
      </c>
      <c r="N258" t="s">
        <v>2511</v>
      </c>
      <c r="O258" t="s">
        <v>2512</v>
      </c>
      <c r="P258" t="s">
        <v>2513</v>
      </c>
      <c r="X258">
        <v>4428308</v>
      </c>
      <c r="Y258" t="s">
        <v>2514</v>
      </c>
      <c r="Z258" t="s">
        <v>2515</v>
      </c>
      <c r="AA258" t="s">
        <v>2134</v>
      </c>
    </row>
    <row r="259" spans="1:28" x14ac:dyDescent="0.2">
      <c r="A259" t="s">
        <v>2516</v>
      </c>
      <c r="B259" t="s">
        <v>2517</v>
      </c>
      <c r="C259" t="s">
        <v>2518</v>
      </c>
      <c r="D259" t="s">
        <v>31</v>
      </c>
      <c r="F259" t="s">
        <v>32</v>
      </c>
      <c r="G259" s="1">
        <v>43003</v>
      </c>
      <c r="H259" t="s">
        <v>67</v>
      </c>
      <c r="I259" t="s">
        <v>2519</v>
      </c>
      <c r="J259" t="s">
        <v>2520</v>
      </c>
      <c r="N259" t="s">
        <v>2521</v>
      </c>
      <c r="O259" t="s">
        <v>2522</v>
      </c>
      <c r="P259" t="s">
        <v>2523</v>
      </c>
      <c r="X259">
        <v>4429344</v>
      </c>
      <c r="Y259" t="s">
        <v>2524</v>
      </c>
    </row>
    <row r="260" spans="1:28" x14ac:dyDescent="0.2">
      <c r="A260" t="s">
        <v>2525</v>
      </c>
      <c r="B260" t="s">
        <v>2526</v>
      </c>
      <c r="C260" t="s">
        <v>2527</v>
      </c>
      <c r="D260" t="s">
        <v>31</v>
      </c>
      <c r="F260" t="s">
        <v>32</v>
      </c>
      <c r="G260" s="1">
        <v>27030</v>
      </c>
      <c r="H260" t="s">
        <v>91</v>
      </c>
      <c r="I260" t="s">
        <v>2528</v>
      </c>
      <c r="J260" t="s">
        <v>2529</v>
      </c>
      <c r="K260" t="s">
        <v>2530</v>
      </c>
      <c r="L260" t="s">
        <v>59</v>
      </c>
      <c r="M260" t="s">
        <v>59</v>
      </c>
      <c r="N260" t="s">
        <v>2531</v>
      </c>
      <c r="O260" t="s">
        <v>2532</v>
      </c>
      <c r="P260" t="s">
        <v>2533</v>
      </c>
      <c r="X260">
        <v>4429891</v>
      </c>
      <c r="Y260" t="s">
        <v>250</v>
      </c>
      <c r="Z260" t="s">
        <v>2534</v>
      </c>
      <c r="AA260" t="s">
        <v>863</v>
      </c>
      <c r="AB260" t="s">
        <v>221</v>
      </c>
    </row>
    <row r="261" spans="1:28" x14ac:dyDescent="0.2">
      <c r="A261" t="s">
        <v>2535</v>
      </c>
      <c r="B261" t="s">
        <v>2536</v>
      </c>
      <c r="C261" t="s">
        <v>2537</v>
      </c>
      <c r="D261" t="s">
        <v>31</v>
      </c>
      <c r="F261" t="s">
        <v>32</v>
      </c>
      <c r="G261" s="1">
        <v>45901</v>
      </c>
      <c r="H261" t="s">
        <v>67</v>
      </c>
      <c r="I261" t="s">
        <v>2538</v>
      </c>
      <c r="J261" t="s">
        <v>2539</v>
      </c>
      <c r="K261" t="s">
        <v>2540</v>
      </c>
      <c r="L261" t="s">
        <v>59</v>
      </c>
      <c r="M261" t="s">
        <v>59</v>
      </c>
      <c r="N261" t="s">
        <v>2541</v>
      </c>
      <c r="O261" t="s">
        <v>2542</v>
      </c>
      <c r="P261">
        <v>4915567246025</v>
      </c>
      <c r="X261">
        <v>4453764</v>
      </c>
      <c r="Y261" t="s">
        <v>2543</v>
      </c>
      <c r="Z261" t="s">
        <v>2544</v>
      </c>
      <c r="AA261" t="s">
        <v>42</v>
      </c>
    </row>
    <row r="262" spans="1:28" x14ac:dyDescent="0.2">
      <c r="A262" t="s">
        <v>2545</v>
      </c>
      <c r="B262" t="s">
        <v>2546</v>
      </c>
      <c r="C262" s="2" t="s">
        <v>2547</v>
      </c>
      <c r="D262" t="s">
        <v>31</v>
      </c>
      <c r="F262" t="s">
        <v>32</v>
      </c>
      <c r="G262" s="1">
        <v>43831</v>
      </c>
      <c r="H262" t="s">
        <v>91</v>
      </c>
      <c r="I262" t="s">
        <v>2548</v>
      </c>
      <c r="J262" t="s">
        <v>2549</v>
      </c>
      <c r="K262" t="s">
        <v>2550</v>
      </c>
      <c r="M262" t="s">
        <v>59</v>
      </c>
      <c r="N262" t="s">
        <v>2551</v>
      </c>
      <c r="O262" t="s">
        <v>2552</v>
      </c>
      <c r="Q262" t="s">
        <v>2553</v>
      </c>
      <c r="S262" s="1">
        <v>45681</v>
      </c>
      <c r="X262">
        <v>16336</v>
      </c>
      <c r="Y262" t="s">
        <v>2554</v>
      </c>
      <c r="Z262" t="s">
        <v>2544</v>
      </c>
      <c r="AA262" t="s">
        <v>42</v>
      </c>
      <c r="AB262" t="s">
        <v>2555</v>
      </c>
    </row>
    <row r="263" spans="1:28" x14ac:dyDescent="0.2">
      <c r="A263" t="s">
        <v>2556</v>
      </c>
      <c r="B263" t="s">
        <v>2557</v>
      </c>
      <c r="C263" t="s">
        <v>2558</v>
      </c>
      <c r="D263" t="s">
        <v>31</v>
      </c>
      <c r="F263" t="s">
        <v>32</v>
      </c>
      <c r="G263" s="1">
        <v>43109</v>
      </c>
      <c r="H263" t="s">
        <v>33</v>
      </c>
      <c r="I263" t="s">
        <v>2559</v>
      </c>
      <c r="J263" t="s">
        <v>2560</v>
      </c>
      <c r="K263" t="s">
        <v>2561</v>
      </c>
      <c r="N263" t="s">
        <v>2562</v>
      </c>
      <c r="O263" t="s">
        <v>2563</v>
      </c>
      <c r="P263" t="s">
        <v>2564</v>
      </c>
      <c r="Q263" t="s">
        <v>2565</v>
      </c>
      <c r="S263" s="1">
        <v>45323</v>
      </c>
      <c r="X263">
        <v>51235</v>
      </c>
      <c r="Y263" t="s">
        <v>2566</v>
      </c>
      <c r="Z263" t="s">
        <v>2544</v>
      </c>
      <c r="AA263" t="s">
        <v>42</v>
      </c>
      <c r="AB263" t="s">
        <v>2567</v>
      </c>
    </row>
    <row r="264" spans="1:28" x14ac:dyDescent="0.2">
      <c r="A264" t="s">
        <v>2568</v>
      </c>
      <c r="B264" t="s">
        <v>2569</v>
      </c>
      <c r="C264" t="s">
        <v>2570</v>
      </c>
      <c r="D264" t="s">
        <v>31</v>
      </c>
      <c r="F264" t="s">
        <v>32</v>
      </c>
      <c r="G264" s="1">
        <v>41456</v>
      </c>
      <c r="H264" t="s">
        <v>33</v>
      </c>
      <c r="I264" t="s">
        <v>2571</v>
      </c>
      <c r="J264" t="s">
        <v>2572</v>
      </c>
      <c r="K264" t="s">
        <v>2573</v>
      </c>
      <c r="L264" t="s">
        <v>59</v>
      </c>
      <c r="M264" t="s">
        <v>59</v>
      </c>
      <c r="N264" t="s">
        <v>2574</v>
      </c>
      <c r="O264" t="s">
        <v>2575</v>
      </c>
      <c r="P264">
        <v>4989248807722</v>
      </c>
      <c r="Q264" t="s">
        <v>2576</v>
      </c>
      <c r="S264" s="1">
        <v>42684</v>
      </c>
      <c r="X264">
        <v>67042</v>
      </c>
      <c r="Y264" t="s">
        <v>2577</v>
      </c>
      <c r="Z264" t="s">
        <v>2544</v>
      </c>
      <c r="AA264" t="s">
        <v>42</v>
      </c>
      <c r="AB264" t="s">
        <v>221</v>
      </c>
    </row>
    <row r="265" spans="1:28" x14ac:dyDescent="0.2">
      <c r="A265" t="s">
        <v>2578</v>
      </c>
      <c r="B265" t="s">
        <v>2579</v>
      </c>
      <c r="C265" t="s">
        <v>2580</v>
      </c>
      <c r="D265" t="s">
        <v>31</v>
      </c>
      <c r="F265" t="s">
        <v>32</v>
      </c>
      <c r="G265" s="1">
        <v>42780</v>
      </c>
      <c r="H265" t="s">
        <v>91</v>
      </c>
      <c r="I265" t="s">
        <v>2581</v>
      </c>
      <c r="J265" t="s">
        <v>2582</v>
      </c>
      <c r="K265" t="s">
        <v>2583</v>
      </c>
      <c r="M265" t="s">
        <v>59</v>
      </c>
      <c r="N265" t="s">
        <v>2584</v>
      </c>
      <c r="O265" t="s">
        <v>2585</v>
      </c>
      <c r="Q265" t="s">
        <v>2586</v>
      </c>
      <c r="S265" s="1">
        <v>45657</v>
      </c>
      <c r="X265">
        <v>68532</v>
      </c>
      <c r="Y265" t="s">
        <v>2587</v>
      </c>
      <c r="Z265" t="s">
        <v>2544</v>
      </c>
      <c r="AA265" t="s">
        <v>42</v>
      </c>
      <c r="AB265" t="s">
        <v>2588</v>
      </c>
    </row>
    <row r="266" spans="1:28" x14ac:dyDescent="0.2">
      <c r="A266" t="s">
        <v>2589</v>
      </c>
      <c r="B266" t="s">
        <v>2590</v>
      </c>
      <c r="C266" t="s">
        <v>2591</v>
      </c>
      <c r="D266" t="s">
        <v>31</v>
      </c>
      <c r="F266" t="s">
        <v>32</v>
      </c>
      <c r="G266" s="1">
        <v>42005</v>
      </c>
      <c r="H266" t="s">
        <v>67</v>
      </c>
      <c r="I266" t="s">
        <v>2592</v>
      </c>
      <c r="J266" t="s">
        <v>2593</v>
      </c>
      <c r="K266" t="s">
        <v>2594</v>
      </c>
      <c r="L266" t="s">
        <v>59</v>
      </c>
      <c r="N266" t="s">
        <v>2595</v>
      </c>
      <c r="O266" t="s">
        <v>2596</v>
      </c>
      <c r="Q266" t="s">
        <v>2597</v>
      </c>
      <c r="S266" s="1">
        <v>42634</v>
      </c>
      <c r="X266">
        <v>131309</v>
      </c>
      <c r="Y266" t="s">
        <v>2598</v>
      </c>
      <c r="Z266" t="s">
        <v>2544</v>
      </c>
      <c r="AA266" t="s">
        <v>42</v>
      </c>
    </row>
    <row r="267" spans="1:28" x14ac:dyDescent="0.2">
      <c r="A267" t="s">
        <v>2599</v>
      </c>
      <c r="B267" t="s">
        <v>2599</v>
      </c>
      <c r="C267" t="s">
        <v>2600</v>
      </c>
      <c r="D267" t="s">
        <v>135</v>
      </c>
      <c r="F267" t="s">
        <v>32</v>
      </c>
      <c r="G267" s="1">
        <v>42826</v>
      </c>
      <c r="H267" t="s">
        <v>33</v>
      </c>
      <c r="I267" t="s">
        <v>2601</v>
      </c>
      <c r="J267" t="s">
        <v>2602</v>
      </c>
      <c r="K267" t="s">
        <v>2603</v>
      </c>
      <c r="M267" t="s">
        <v>59</v>
      </c>
      <c r="N267" t="s">
        <v>2604</v>
      </c>
      <c r="O267" t="s">
        <v>2605</v>
      </c>
      <c r="Q267" t="s">
        <v>2606</v>
      </c>
      <c r="S267" s="1">
        <v>43282</v>
      </c>
      <c r="X267">
        <v>205421</v>
      </c>
      <c r="Y267" t="s">
        <v>2607</v>
      </c>
      <c r="Z267" t="s">
        <v>2544</v>
      </c>
      <c r="AA267" t="s">
        <v>42</v>
      </c>
    </row>
    <row r="268" spans="1:28" x14ac:dyDescent="0.2">
      <c r="A268" t="s">
        <v>2608</v>
      </c>
      <c r="B268" t="s">
        <v>2609</v>
      </c>
      <c r="C268" t="s">
        <v>2610</v>
      </c>
      <c r="D268" t="s">
        <v>31</v>
      </c>
      <c r="F268" t="s">
        <v>32</v>
      </c>
      <c r="G268" s="1">
        <v>45658</v>
      </c>
      <c r="H268" t="s">
        <v>67</v>
      </c>
      <c r="I268" t="s">
        <v>2611</v>
      </c>
      <c r="J268" t="s">
        <v>2612</v>
      </c>
      <c r="K268" t="s">
        <v>2613</v>
      </c>
      <c r="L268" t="s">
        <v>59</v>
      </c>
      <c r="N268" t="s">
        <v>2614</v>
      </c>
      <c r="O268" t="s">
        <v>2615</v>
      </c>
      <c r="Q268" t="s">
        <v>2616</v>
      </c>
      <c r="X268">
        <v>267618</v>
      </c>
      <c r="Y268" t="s">
        <v>2617</v>
      </c>
      <c r="Z268" t="s">
        <v>2544</v>
      </c>
      <c r="AA268" t="s">
        <v>42</v>
      </c>
    </row>
    <row r="269" spans="1:28" x14ac:dyDescent="0.2">
      <c r="A269" t="s">
        <v>2618</v>
      </c>
      <c r="B269" t="s">
        <v>2619</v>
      </c>
      <c r="C269" t="s">
        <v>2620</v>
      </c>
      <c r="D269" t="s">
        <v>31</v>
      </c>
      <c r="F269" t="s">
        <v>32</v>
      </c>
      <c r="G269" s="1">
        <v>40909</v>
      </c>
      <c r="H269" t="s">
        <v>33</v>
      </c>
      <c r="I269" t="s">
        <v>2621</v>
      </c>
      <c r="J269" t="s">
        <v>2622</v>
      </c>
      <c r="K269" t="s">
        <v>2623</v>
      </c>
      <c r="L269" t="s">
        <v>59</v>
      </c>
      <c r="N269" t="s">
        <v>2624</v>
      </c>
      <c r="P269">
        <v>4369919688255</v>
      </c>
      <c r="Q269" t="s">
        <v>2625</v>
      </c>
      <c r="S269" s="1">
        <v>42736</v>
      </c>
      <c r="X269">
        <v>294724</v>
      </c>
      <c r="Y269" t="s">
        <v>2626</v>
      </c>
      <c r="Z269" t="s">
        <v>2544</v>
      </c>
      <c r="AA269" t="s">
        <v>42</v>
      </c>
      <c r="AB269" t="s">
        <v>2627</v>
      </c>
    </row>
    <row r="270" spans="1:28" x14ac:dyDescent="0.2">
      <c r="A270" t="s">
        <v>2628</v>
      </c>
      <c r="B270" t="s">
        <v>2629</v>
      </c>
      <c r="C270" t="s">
        <v>2630</v>
      </c>
      <c r="D270" t="s">
        <v>31</v>
      </c>
      <c r="F270" t="s">
        <v>32</v>
      </c>
      <c r="G270" s="1">
        <v>29221</v>
      </c>
      <c r="H270" t="s">
        <v>91</v>
      </c>
      <c r="I270" t="s">
        <v>2631</v>
      </c>
      <c r="J270" t="s">
        <v>2632</v>
      </c>
      <c r="K270" t="s">
        <v>2633</v>
      </c>
      <c r="N270" t="s">
        <v>2634</v>
      </c>
      <c r="O270" t="s">
        <v>2635</v>
      </c>
      <c r="P270" t="s">
        <v>2636</v>
      </c>
      <c r="X270">
        <v>303316</v>
      </c>
      <c r="Y270" t="s">
        <v>2637</v>
      </c>
      <c r="Z270" t="s">
        <v>2544</v>
      </c>
      <c r="AA270" t="s">
        <v>42</v>
      </c>
      <c r="AB270" t="s">
        <v>1688</v>
      </c>
    </row>
    <row r="271" spans="1:28" x14ac:dyDescent="0.2">
      <c r="A271" t="s">
        <v>2638</v>
      </c>
      <c r="B271" t="s">
        <v>2639</v>
      </c>
      <c r="C271" t="s">
        <v>2640</v>
      </c>
      <c r="D271" t="s">
        <v>31</v>
      </c>
      <c r="F271" t="s">
        <v>32</v>
      </c>
      <c r="G271" s="1">
        <v>40179</v>
      </c>
      <c r="H271" t="s">
        <v>91</v>
      </c>
      <c r="I271" t="s">
        <v>2641</v>
      </c>
      <c r="J271" t="s">
        <v>2642</v>
      </c>
      <c r="K271" t="s">
        <v>2643</v>
      </c>
      <c r="M271" t="s">
        <v>59</v>
      </c>
      <c r="N271" t="s">
        <v>2644</v>
      </c>
      <c r="O271" t="s">
        <v>2645</v>
      </c>
      <c r="P271" t="s">
        <v>2646</v>
      </c>
      <c r="Q271" t="s">
        <v>2647</v>
      </c>
      <c r="X271">
        <v>374183</v>
      </c>
      <c r="Y271" t="s">
        <v>1378</v>
      </c>
      <c r="Z271" t="s">
        <v>2544</v>
      </c>
      <c r="AA271" t="s">
        <v>42</v>
      </c>
      <c r="AB271" t="s">
        <v>2648</v>
      </c>
    </row>
    <row r="272" spans="1:28" x14ac:dyDescent="0.2">
      <c r="A272" t="s">
        <v>2649</v>
      </c>
      <c r="B272" t="s">
        <v>2650</v>
      </c>
      <c r="C272" t="s">
        <v>2651</v>
      </c>
      <c r="D272" t="s">
        <v>31</v>
      </c>
      <c r="F272" t="s">
        <v>32</v>
      </c>
      <c r="G272" s="1">
        <v>43101</v>
      </c>
      <c r="H272" t="s">
        <v>33</v>
      </c>
      <c r="I272" t="s">
        <v>2652</v>
      </c>
      <c r="J272" t="s">
        <v>2653</v>
      </c>
      <c r="K272" t="s">
        <v>2654</v>
      </c>
      <c r="N272" t="s">
        <v>2655</v>
      </c>
      <c r="O272" t="s">
        <v>2656</v>
      </c>
      <c r="P272" t="s">
        <v>2657</v>
      </c>
      <c r="Q272" t="s">
        <v>2658</v>
      </c>
      <c r="S272" s="1">
        <v>44216</v>
      </c>
      <c r="X272">
        <v>375181</v>
      </c>
      <c r="Y272" t="s">
        <v>2659</v>
      </c>
      <c r="Z272" t="s">
        <v>2544</v>
      </c>
      <c r="AA272" t="s">
        <v>42</v>
      </c>
      <c r="AB272" t="s">
        <v>2660</v>
      </c>
    </row>
    <row r="273" spans="1:28" x14ac:dyDescent="0.2">
      <c r="A273" t="s">
        <v>2661</v>
      </c>
      <c r="B273" t="s">
        <v>2662</v>
      </c>
      <c r="C273" t="s">
        <v>2663</v>
      </c>
      <c r="D273" t="s">
        <v>31</v>
      </c>
      <c r="F273" t="s">
        <v>32</v>
      </c>
      <c r="G273" s="1">
        <v>44197</v>
      </c>
      <c r="H273" t="s">
        <v>67</v>
      </c>
      <c r="I273" t="s">
        <v>2664</v>
      </c>
      <c r="J273" t="s">
        <v>2665</v>
      </c>
      <c r="K273" t="s">
        <v>2666</v>
      </c>
      <c r="N273" t="s">
        <v>2667</v>
      </c>
      <c r="O273" t="s">
        <v>2668</v>
      </c>
      <c r="Q273" t="s">
        <v>2669</v>
      </c>
      <c r="S273" s="1">
        <v>44348</v>
      </c>
      <c r="X273">
        <v>378867</v>
      </c>
      <c r="Y273" t="s">
        <v>2670</v>
      </c>
      <c r="Z273" t="s">
        <v>2544</v>
      </c>
      <c r="AA273" t="s">
        <v>42</v>
      </c>
      <c r="AB273" t="s">
        <v>2671</v>
      </c>
    </row>
    <row r="274" spans="1:28" x14ac:dyDescent="0.2">
      <c r="A274" t="s">
        <v>2672</v>
      </c>
      <c r="B274" t="s">
        <v>2673</v>
      </c>
      <c r="C274" t="s">
        <v>2674</v>
      </c>
      <c r="D274" t="s">
        <v>31</v>
      </c>
      <c r="F274" t="s">
        <v>32</v>
      </c>
      <c r="G274" s="1">
        <v>40483</v>
      </c>
      <c r="H274" t="s">
        <v>33</v>
      </c>
      <c r="I274" t="s">
        <v>2675</v>
      </c>
      <c r="J274" t="s">
        <v>2676</v>
      </c>
      <c r="K274" t="s">
        <v>2677</v>
      </c>
      <c r="M274" t="s">
        <v>59</v>
      </c>
      <c r="N274" t="s">
        <v>2678</v>
      </c>
      <c r="O274" t="s">
        <v>2679</v>
      </c>
      <c r="P274">
        <v>498921556870</v>
      </c>
      <c r="Q274" t="s">
        <v>2680</v>
      </c>
      <c r="S274" s="1">
        <v>42800</v>
      </c>
      <c r="X274">
        <v>385787</v>
      </c>
      <c r="Y274" t="s">
        <v>2681</v>
      </c>
      <c r="Z274" t="s">
        <v>2544</v>
      </c>
      <c r="AA274" t="s">
        <v>42</v>
      </c>
      <c r="AB274" t="s">
        <v>1596</v>
      </c>
    </row>
    <row r="275" spans="1:28" x14ac:dyDescent="0.2">
      <c r="A275" t="s">
        <v>2682</v>
      </c>
      <c r="B275" t="s">
        <v>2683</v>
      </c>
      <c r="C275" t="s">
        <v>2684</v>
      </c>
      <c r="D275" t="s">
        <v>31</v>
      </c>
      <c r="F275" t="s">
        <v>32</v>
      </c>
      <c r="G275" s="1">
        <v>38718</v>
      </c>
      <c r="H275" t="s">
        <v>33</v>
      </c>
      <c r="I275" t="s">
        <v>2685</v>
      </c>
      <c r="J275" t="s">
        <v>2686</v>
      </c>
      <c r="K275" t="s">
        <v>2687</v>
      </c>
      <c r="L275" t="s">
        <v>59</v>
      </c>
      <c r="M275" t="s">
        <v>59</v>
      </c>
      <c r="N275" t="s">
        <v>2688</v>
      </c>
      <c r="O275" t="s">
        <v>2689</v>
      </c>
      <c r="P275" t="s">
        <v>2690</v>
      </c>
      <c r="Q275" t="s">
        <v>2691</v>
      </c>
      <c r="S275" s="1">
        <v>42380</v>
      </c>
      <c r="X275">
        <v>412727</v>
      </c>
      <c r="Y275" t="s">
        <v>2692</v>
      </c>
      <c r="Z275" t="s">
        <v>2544</v>
      </c>
      <c r="AA275" t="s">
        <v>42</v>
      </c>
    </row>
    <row r="276" spans="1:28" x14ac:dyDescent="0.2">
      <c r="A276" t="s">
        <v>2693</v>
      </c>
      <c r="B276" t="s">
        <v>2694</v>
      </c>
      <c r="C276" t="s">
        <v>2695</v>
      </c>
      <c r="D276" t="s">
        <v>31</v>
      </c>
      <c r="F276" t="s">
        <v>32</v>
      </c>
      <c r="G276" s="1">
        <v>35431</v>
      </c>
      <c r="H276" t="s">
        <v>33</v>
      </c>
      <c r="I276" t="s">
        <v>2696</v>
      </c>
      <c r="J276" t="s">
        <v>2697</v>
      </c>
      <c r="K276" t="s">
        <v>2698</v>
      </c>
      <c r="M276" t="s">
        <v>59</v>
      </c>
      <c r="N276" t="s">
        <v>2699</v>
      </c>
      <c r="O276" t="s">
        <v>2700</v>
      </c>
      <c r="P276" t="s">
        <v>2701</v>
      </c>
      <c r="X276">
        <v>435782</v>
      </c>
      <c r="Y276" t="s">
        <v>2702</v>
      </c>
      <c r="Z276" t="s">
        <v>2544</v>
      </c>
      <c r="AA276" t="s">
        <v>42</v>
      </c>
    </row>
    <row r="277" spans="1:28" x14ac:dyDescent="0.2">
      <c r="A277" t="s">
        <v>2703</v>
      </c>
      <c r="B277" t="s">
        <v>2704</v>
      </c>
      <c r="C277" t="s">
        <v>2705</v>
      </c>
      <c r="D277" t="s">
        <v>31</v>
      </c>
      <c r="F277" t="s">
        <v>32</v>
      </c>
      <c r="G277" s="1">
        <v>45179</v>
      </c>
      <c r="H277" t="s">
        <v>91</v>
      </c>
      <c r="I277" t="s">
        <v>2706</v>
      </c>
      <c r="J277" t="s">
        <v>2707</v>
      </c>
      <c r="K277" t="s">
        <v>2708</v>
      </c>
      <c r="M277" t="s">
        <v>59</v>
      </c>
      <c r="N277" t="s">
        <v>2709</v>
      </c>
      <c r="O277" t="s">
        <v>2710</v>
      </c>
      <c r="P277" t="s">
        <v>2711</v>
      </c>
      <c r="Q277" t="s">
        <v>2712</v>
      </c>
      <c r="X277">
        <v>451982</v>
      </c>
      <c r="Y277" t="s">
        <v>2713</v>
      </c>
      <c r="Z277" t="s">
        <v>2544</v>
      </c>
      <c r="AA277" t="s">
        <v>42</v>
      </c>
    </row>
    <row r="278" spans="1:28" x14ac:dyDescent="0.2">
      <c r="A278" t="s">
        <v>2714</v>
      </c>
      <c r="B278" t="s">
        <v>2715</v>
      </c>
      <c r="C278" t="s">
        <v>2716</v>
      </c>
      <c r="D278" t="s">
        <v>31</v>
      </c>
      <c r="F278" t="s">
        <v>32</v>
      </c>
      <c r="G278" s="1">
        <v>43831</v>
      </c>
      <c r="H278" t="s">
        <v>67</v>
      </c>
      <c r="I278" t="s">
        <v>2717</v>
      </c>
      <c r="J278" t="s">
        <v>2718</v>
      </c>
      <c r="K278" t="s">
        <v>2719</v>
      </c>
      <c r="M278" t="s">
        <v>59</v>
      </c>
      <c r="N278" t="s">
        <v>2720</v>
      </c>
      <c r="O278" t="s">
        <v>2721</v>
      </c>
      <c r="S278" s="1">
        <v>44650</v>
      </c>
      <c r="X278">
        <v>502457</v>
      </c>
      <c r="Y278" t="s">
        <v>2722</v>
      </c>
      <c r="Z278" t="s">
        <v>2544</v>
      </c>
      <c r="AA278" t="s">
        <v>42</v>
      </c>
    </row>
    <row r="279" spans="1:28" x14ac:dyDescent="0.2">
      <c r="A279" t="s">
        <v>2723</v>
      </c>
      <c r="B279" t="s">
        <v>2724</v>
      </c>
      <c r="C279" t="s">
        <v>2725</v>
      </c>
      <c r="D279" t="s">
        <v>31</v>
      </c>
      <c r="F279" t="s">
        <v>32</v>
      </c>
      <c r="G279" s="1">
        <v>39083</v>
      </c>
      <c r="H279" t="s">
        <v>33</v>
      </c>
      <c r="I279" t="s">
        <v>2726</v>
      </c>
      <c r="J279" t="s">
        <v>2727</v>
      </c>
      <c r="K279" t="s">
        <v>2728</v>
      </c>
      <c r="N279" t="s">
        <v>2729</v>
      </c>
      <c r="O279" t="s">
        <v>2730</v>
      </c>
      <c r="P279" t="s">
        <v>2731</v>
      </c>
      <c r="Q279" t="s">
        <v>2732</v>
      </c>
      <c r="S279" s="1">
        <v>40882</v>
      </c>
      <c r="X279">
        <v>664701</v>
      </c>
      <c r="Y279" t="s">
        <v>2733</v>
      </c>
      <c r="Z279" t="s">
        <v>2544</v>
      </c>
      <c r="AA279" t="s">
        <v>42</v>
      </c>
    </row>
    <row r="280" spans="1:28" x14ac:dyDescent="0.2">
      <c r="A280" t="s">
        <v>2734</v>
      </c>
      <c r="B280" t="s">
        <v>2735</v>
      </c>
      <c r="C280" t="s">
        <v>2736</v>
      </c>
      <c r="D280" t="s">
        <v>31</v>
      </c>
      <c r="F280" t="s">
        <v>32</v>
      </c>
      <c r="G280" s="1">
        <v>40909</v>
      </c>
      <c r="H280" t="s">
        <v>67</v>
      </c>
      <c r="I280" t="s">
        <v>2737</v>
      </c>
      <c r="J280" t="s">
        <v>2738</v>
      </c>
      <c r="M280" t="s">
        <v>59</v>
      </c>
      <c r="N280" t="s">
        <v>2739</v>
      </c>
      <c r="O280" t="s">
        <v>2740</v>
      </c>
      <c r="P280" t="s">
        <v>2741</v>
      </c>
      <c r="X280">
        <v>788282</v>
      </c>
      <c r="Y280" t="s">
        <v>2742</v>
      </c>
      <c r="Z280" t="s">
        <v>2544</v>
      </c>
      <c r="AA280" t="s">
        <v>42</v>
      </c>
      <c r="AB280" t="s">
        <v>2743</v>
      </c>
    </row>
    <row r="281" spans="1:28" x14ac:dyDescent="0.2">
      <c r="A281" t="s">
        <v>2744</v>
      </c>
      <c r="B281" t="s">
        <v>2745</v>
      </c>
      <c r="C281" t="s">
        <v>2746</v>
      </c>
      <c r="D281" t="s">
        <v>31</v>
      </c>
      <c r="F281" t="s">
        <v>32</v>
      </c>
      <c r="G281" s="1">
        <v>43865</v>
      </c>
      <c r="H281" t="s">
        <v>67</v>
      </c>
      <c r="I281" t="s">
        <v>2747</v>
      </c>
      <c r="J281" t="s">
        <v>2748</v>
      </c>
      <c r="K281" t="s">
        <v>2749</v>
      </c>
      <c r="L281" t="s">
        <v>59</v>
      </c>
      <c r="N281" t="s">
        <v>2750</v>
      </c>
      <c r="O281" t="s">
        <v>2751</v>
      </c>
      <c r="Q281" t="s">
        <v>2752</v>
      </c>
      <c r="X281">
        <v>796538</v>
      </c>
      <c r="Y281" t="s">
        <v>2753</v>
      </c>
      <c r="Z281" t="s">
        <v>2544</v>
      </c>
      <c r="AA281" t="s">
        <v>42</v>
      </c>
    </row>
    <row r="282" spans="1:28" x14ac:dyDescent="0.2">
      <c r="A282" t="s">
        <v>2754</v>
      </c>
      <c r="B282" t="s">
        <v>2755</v>
      </c>
      <c r="C282" t="s">
        <v>2756</v>
      </c>
      <c r="D282" t="s">
        <v>31</v>
      </c>
      <c r="F282" t="s">
        <v>32</v>
      </c>
      <c r="G282" s="1">
        <v>37622</v>
      </c>
      <c r="H282" t="s">
        <v>33</v>
      </c>
      <c r="I282" t="s">
        <v>2757</v>
      </c>
      <c r="J282" t="s">
        <v>2757</v>
      </c>
      <c r="K282" t="s">
        <v>2758</v>
      </c>
      <c r="N282" t="s">
        <v>2759</v>
      </c>
      <c r="O282" t="s">
        <v>2760</v>
      </c>
      <c r="P282" t="s">
        <v>2761</v>
      </c>
      <c r="X282">
        <v>830723</v>
      </c>
      <c r="Y282" t="s">
        <v>961</v>
      </c>
      <c r="Z282" t="s">
        <v>2544</v>
      </c>
      <c r="AA282" t="s">
        <v>42</v>
      </c>
      <c r="AB282" t="s">
        <v>1038</v>
      </c>
    </row>
    <row r="283" spans="1:28" x14ac:dyDescent="0.2">
      <c r="A283" t="s">
        <v>2762</v>
      </c>
      <c r="B283" t="s">
        <v>2763</v>
      </c>
      <c r="C283" t="s">
        <v>2764</v>
      </c>
      <c r="D283" t="s">
        <v>31</v>
      </c>
      <c r="F283" t="s">
        <v>32</v>
      </c>
      <c r="G283" s="1">
        <v>44562</v>
      </c>
      <c r="H283" t="s">
        <v>67</v>
      </c>
      <c r="I283" t="s">
        <v>2765</v>
      </c>
      <c r="J283" t="s">
        <v>2765</v>
      </c>
      <c r="K283" t="s">
        <v>2766</v>
      </c>
      <c r="M283" t="s">
        <v>59</v>
      </c>
      <c r="N283" t="s">
        <v>2767</v>
      </c>
      <c r="O283" t="s">
        <v>2768</v>
      </c>
      <c r="P283" t="s">
        <v>2769</v>
      </c>
      <c r="S283" s="1">
        <v>45078</v>
      </c>
      <c r="X283">
        <v>856817</v>
      </c>
      <c r="Y283" t="s">
        <v>2770</v>
      </c>
      <c r="Z283" t="s">
        <v>2544</v>
      </c>
      <c r="AA283" t="s">
        <v>42</v>
      </c>
      <c r="AB283" t="s">
        <v>221</v>
      </c>
    </row>
    <row r="284" spans="1:28" x14ac:dyDescent="0.2">
      <c r="A284" t="s">
        <v>2771</v>
      </c>
      <c r="B284" t="s">
        <v>2772</v>
      </c>
      <c r="C284" t="s">
        <v>2773</v>
      </c>
      <c r="D284" t="s">
        <v>31</v>
      </c>
      <c r="F284" t="s">
        <v>32</v>
      </c>
      <c r="G284" s="1">
        <v>44562</v>
      </c>
      <c r="H284" t="s">
        <v>67</v>
      </c>
      <c r="I284" t="s">
        <v>2774</v>
      </c>
      <c r="J284" t="s">
        <v>2775</v>
      </c>
      <c r="K284" t="s">
        <v>2776</v>
      </c>
      <c r="N284" t="s">
        <v>2777</v>
      </c>
      <c r="O284" t="s">
        <v>2778</v>
      </c>
      <c r="P284" t="s">
        <v>2779</v>
      </c>
      <c r="X284">
        <v>938450</v>
      </c>
      <c r="Y284" t="s">
        <v>2780</v>
      </c>
      <c r="Z284" t="s">
        <v>2544</v>
      </c>
      <c r="AA284" t="s">
        <v>42</v>
      </c>
      <c r="AB284" t="s">
        <v>2781</v>
      </c>
    </row>
    <row r="285" spans="1:28" x14ac:dyDescent="0.2">
      <c r="A285" t="s">
        <v>2782</v>
      </c>
      <c r="B285" t="s">
        <v>2783</v>
      </c>
      <c r="C285" t="s">
        <v>2784</v>
      </c>
      <c r="D285" t="s">
        <v>31</v>
      </c>
      <c r="F285" t="s">
        <v>32</v>
      </c>
      <c r="G285" s="1">
        <v>44927</v>
      </c>
      <c r="H285" t="s">
        <v>67</v>
      </c>
      <c r="I285" t="s">
        <v>2785</v>
      </c>
      <c r="J285" t="s">
        <v>2786</v>
      </c>
      <c r="K285" t="s">
        <v>2787</v>
      </c>
      <c r="N285" t="s">
        <v>2788</v>
      </c>
      <c r="X285">
        <v>969665</v>
      </c>
      <c r="Y285" t="s">
        <v>2789</v>
      </c>
      <c r="Z285" t="s">
        <v>2544</v>
      </c>
      <c r="AA285" t="s">
        <v>42</v>
      </c>
      <c r="AB285" t="s">
        <v>1038</v>
      </c>
    </row>
    <row r="286" spans="1:28" x14ac:dyDescent="0.2">
      <c r="A286" t="s">
        <v>2790</v>
      </c>
      <c r="B286" t="s">
        <v>2791</v>
      </c>
      <c r="C286" t="s">
        <v>2792</v>
      </c>
      <c r="D286" t="s">
        <v>31</v>
      </c>
      <c r="F286" t="s">
        <v>32</v>
      </c>
      <c r="G286" s="1">
        <v>29587</v>
      </c>
      <c r="H286" t="s">
        <v>33</v>
      </c>
      <c r="I286" t="s">
        <v>2793</v>
      </c>
      <c r="J286" t="s">
        <v>2793</v>
      </c>
      <c r="K286" t="s">
        <v>2794</v>
      </c>
      <c r="N286" t="s">
        <v>2795</v>
      </c>
      <c r="O286" t="s">
        <v>2796</v>
      </c>
      <c r="P286">
        <f>49-896-512-200</f>
        <v>-1559</v>
      </c>
      <c r="X286">
        <v>1026224</v>
      </c>
      <c r="Y286" t="s">
        <v>2797</v>
      </c>
      <c r="Z286" t="s">
        <v>2544</v>
      </c>
      <c r="AA286" t="s">
        <v>42</v>
      </c>
    </row>
    <row r="287" spans="1:28" x14ac:dyDescent="0.2">
      <c r="A287" t="s">
        <v>2798</v>
      </c>
      <c r="B287" t="s">
        <v>2799</v>
      </c>
      <c r="C287" t="s">
        <v>2800</v>
      </c>
      <c r="D287" t="s">
        <v>31</v>
      </c>
      <c r="F287" t="s">
        <v>32</v>
      </c>
      <c r="G287" s="1">
        <v>41640</v>
      </c>
      <c r="H287" t="s">
        <v>33</v>
      </c>
      <c r="I287" t="s">
        <v>2801</v>
      </c>
      <c r="J287" t="s">
        <v>2801</v>
      </c>
      <c r="K287" t="s">
        <v>2802</v>
      </c>
      <c r="L287" t="s">
        <v>59</v>
      </c>
      <c r="M287" t="s">
        <v>59</v>
      </c>
      <c r="N287" t="s">
        <v>2803</v>
      </c>
      <c r="O287" t="s">
        <v>2804</v>
      </c>
      <c r="P287" t="s">
        <v>2805</v>
      </c>
      <c r="X287">
        <v>1203415</v>
      </c>
      <c r="Y287" t="s">
        <v>2806</v>
      </c>
      <c r="Z287" t="s">
        <v>2544</v>
      </c>
      <c r="AA287" t="s">
        <v>42</v>
      </c>
    </row>
    <row r="288" spans="1:28" x14ac:dyDescent="0.2">
      <c r="A288" t="s">
        <v>2807</v>
      </c>
      <c r="B288" t="s">
        <v>2807</v>
      </c>
      <c r="C288" t="s">
        <v>2808</v>
      </c>
      <c r="D288" t="s">
        <v>31</v>
      </c>
      <c r="F288" t="s">
        <v>32</v>
      </c>
      <c r="G288" s="1">
        <v>41640</v>
      </c>
      <c r="H288" t="s">
        <v>67</v>
      </c>
      <c r="I288" t="s">
        <v>2809</v>
      </c>
      <c r="J288" t="s">
        <v>2810</v>
      </c>
      <c r="K288" t="s">
        <v>2811</v>
      </c>
      <c r="L288" t="s">
        <v>59</v>
      </c>
      <c r="M288" t="s">
        <v>59</v>
      </c>
      <c r="N288" t="s">
        <v>2812</v>
      </c>
      <c r="O288" t="s">
        <v>2813</v>
      </c>
      <c r="P288" t="s">
        <v>2814</v>
      </c>
      <c r="X288">
        <v>1436667</v>
      </c>
      <c r="Y288" t="s">
        <v>2815</v>
      </c>
      <c r="Z288" t="s">
        <v>2544</v>
      </c>
      <c r="AA288" t="s">
        <v>42</v>
      </c>
      <c r="AB288" t="s">
        <v>2816</v>
      </c>
    </row>
    <row r="289" spans="1:28" x14ac:dyDescent="0.2">
      <c r="A289" t="s">
        <v>2817</v>
      </c>
      <c r="B289" t="s">
        <v>2818</v>
      </c>
      <c r="C289" t="s">
        <v>2819</v>
      </c>
      <c r="D289" t="s">
        <v>31</v>
      </c>
      <c r="F289" t="s">
        <v>32</v>
      </c>
      <c r="G289" s="1">
        <v>43101</v>
      </c>
      <c r="H289" t="s">
        <v>33</v>
      </c>
      <c r="I289" t="s">
        <v>2820</v>
      </c>
      <c r="J289" t="s">
        <v>2821</v>
      </c>
      <c r="K289" t="s">
        <v>2822</v>
      </c>
      <c r="L289" t="s">
        <v>59</v>
      </c>
      <c r="N289" t="s">
        <v>2823</v>
      </c>
      <c r="O289" t="s">
        <v>2824</v>
      </c>
      <c r="P289" t="s">
        <v>2825</v>
      </c>
      <c r="X289">
        <v>1518500</v>
      </c>
      <c r="Y289" t="s">
        <v>2826</v>
      </c>
      <c r="Z289" t="s">
        <v>2544</v>
      </c>
      <c r="AA289" t="s">
        <v>42</v>
      </c>
    </row>
    <row r="290" spans="1:28" x14ac:dyDescent="0.2">
      <c r="A290" t="s">
        <v>2827</v>
      </c>
      <c r="B290" t="s">
        <v>2828</v>
      </c>
      <c r="C290" t="s">
        <v>2829</v>
      </c>
      <c r="D290" t="s">
        <v>31</v>
      </c>
      <c r="F290" t="s">
        <v>32</v>
      </c>
      <c r="G290" s="1">
        <v>39448</v>
      </c>
      <c r="H290" t="s">
        <v>67</v>
      </c>
      <c r="I290" t="s">
        <v>2830</v>
      </c>
      <c r="J290" t="s">
        <v>2831</v>
      </c>
      <c r="K290" t="s">
        <v>2832</v>
      </c>
      <c r="M290" t="s">
        <v>59</v>
      </c>
      <c r="N290" t="s">
        <v>2833</v>
      </c>
      <c r="O290" t="s">
        <v>2834</v>
      </c>
      <c r="P290" t="s">
        <v>2835</v>
      </c>
      <c r="Q290" t="s">
        <v>2836</v>
      </c>
      <c r="X290">
        <v>1561554</v>
      </c>
      <c r="Y290" t="s">
        <v>2837</v>
      </c>
      <c r="Z290" t="s">
        <v>2544</v>
      </c>
      <c r="AA290" t="s">
        <v>42</v>
      </c>
      <c r="AB290" t="s">
        <v>221</v>
      </c>
    </row>
    <row r="291" spans="1:28" x14ac:dyDescent="0.2">
      <c r="A291" t="s">
        <v>2838</v>
      </c>
      <c r="B291" t="s">
        <v>2839</v>
      </c>
      <c r="C291" t="s">
        <v>2840</v>
      </c>
      <c r="D291" t="s">
        <v>31</v>
      </c>
      <c r="F291" t="s">
        <v>32</v>
      </c>
      <c r="G291" s="1">
        <v>44162</v>
      </c>
      <c r="H291" t="s">
        <v>67</v>
      </c>
      <c r="I291" t="s">
        <v>2841</v>
      </c>
      <c r="J291" t="s">
        <v>2842</v>
      </c>
      <c r="K291" t="s">
        <v>2843</v>
      </c>
      <c r="N291" t="s">
        <v>2844</v>
      </c>
      <c r="O291" t="s">
        <v>2845</v>
      </c>
      <c r="Q291" t="s">
        <v>2846</v>
      </c>
      <c r="X291">
        <v>1760485</v>
      </c>
      <c r="Y291" t="s">
        <v>2847</v>
      </c>
      <c r="Z291" t="s">
        <v>2544</v>
      </c>
      <c r="AA291" t="s">
        <v>42</v>
      </c>
    </row>
    <row r="292" spans="1:28" x14ac:dyDescent="0.2">
      <c r="A292" t="s">
        <v>2848</v>
      </c>
      <c r="B292" t="s">
        <v>2849</v>
      </c>
      <c r="C292" t="s">
        <v>2850</v>
      </c>
      <c r="D292" t="s">
        <v>31</v>
      </c>
      <c r="F292" t="s">
        <v>32</v>
      </c>
      <c r="G292" s="1">
        <v>39083</v>
      </c>
      <c r="H292" t="s">
        <v>33</v>
      </c>
      <c r="I292" t="s">
        <v>2851</v>
      </c>
      <c r="J292" t="s">
        <v>2851</v>
      </c>
      <c r="K292" t="s">
        <v>2852</v>
      </c>
      <c r="L292" t="s">
        <v>59</v>
      </c>
      <c r="M292" t="s">
        <v>59</v>
      </c>
      <c r="N292" t="s">
        <v>2853</v>
      </c>
      <c r="O292" t="s">
        <v>2854</v>
      </c>
      <c r="P292" t="s">
        <v>2855</v>
      </c>
      <c r="X292">
        <v>1798755</v>
      </c>
      <c r="Y292" t="s">
        <v>2856</v>
      </c>
      <c r="Z292" t="s">
        <v>2544</v>
      </c>
      <c r="AA292" t="s">
        <v>42</v>
      </c>
    </row>
    <row r="293" spans="1:28" x14ac:dyDescent="0.2">
      <c r="A293" t="s">
        <v>2857</v>
      </c>
      <c r="B293" t="s">
        <v>2858</v>
      </c>
      <c r="C293" t="s">
        <v>2859</v>
      </c>
      <c r="D293" t="s">
        <v>31</v>
      </c>
      <c r="F293" t="s">
        <v>32</v>
      </c>
      <c r="H293" t="s">
        <v>33</v>
      </c>
      <c r="I293" t="s">
        <v>2860</v>
      </c>
      <c r="J293" t="s">
        <v>2861</v>
      </c>
      <c r="K293" t="s">
        <v>2862</v>
      </c>
      <c r="N293" t="s">
        <v>2863</v>
      </c>
      <c r="O293" t="s">
        <v>2864</v>
      </c>
      <c r="Q293" t="s">
        <v>2865</v>
      </c>
      <c r="X293">
        <v>1999720</v>
      </c>
      <c r="Y293" t="s">
        <v>2637</v>
      </c>
      <c r="Z293" t="s">
        <v>2544</v>
      </c>
      <c r="AA293" t="s">
        <v>42</v>
      </c>
      <c r="AB293" t="s">
        <v>221</v>
      </c>
    </row>
    <row r="294" spans="1:28" x14ac:dyDescent="0.2">
      <c r="A294" t="s">
        <v>2866</v>
      </c>
      <c r="B294" t="s">
        <v>2867</v>
      </c>
      <c r="C294" t="s">
        <v>2868</v>
      </c>
      <c r="D294" t="s">
        <v>31</v>
      </c>
      <c r="F294" t="s">
        <v>32</v>
      </c>
      <c r="G294" s="1">
        <v>39448</v>
      </c>
      <c r="H294" t="s">
        <v>33</v>
      </c>
      <c r="I294" t="s">
        <v>2869</v>
      </c>
      <c r="J294" t="s">
        <v>2869</v>
      </c>
      <c r="K294" t="s">
        <v>2870</v>
      </c>
      <c r="M294" t="s">
        <v>59</v>
      </c>
      <c r="N294" t="s">
        <v>2871</v>
      </c>
      <c r="O294" t="s">
        <v>2872</v>
      </c>
      <c r="P294" t="s">
        <v>2873</v>
      </c>
      <c r="X294">
        <v>2066943</v>
      </c>
      <c r="Y294" t="s">
        <v>2874</v>
      </c>
      <c r="Z294" t="s">
        <v>2544</v>
      </c>
      <c r="AA294" t="s">
        <v>42</v>
      </c>
    </row>
    <row r="295" spans="1:28" x14ac:dyDescent="0.2">
      <c r="A295" t="s">
        <v>2875</v>
      </c>
      <c r="B295" t="s">
        <v>2876</v>
      </c>
      <c r="C295" t="s">
        <v>2877</v>
      </c>
      <c r="D295" t="s">
        <v>31</v>
      </c>
      <c r="F295" t="s">
        <v>32</v>
      </c>
      <c r="G295" s="1">
        <v>14977</v>
      </c>
      <c r="H295" t="s">
        <v>33</v>
      </c>
      <c r="I295" t="s">
        <v>2878</v>
      </c>
      <c r="J295" t="s">
        <v>2878</v>
      </c>
      <c r="K295" t="s">
        <v>2879</v>
      </c>
      <c r="L295" t="s">
        <v>59</v>
      </c>
      <c r="M295" t="s">
        <v>59</v>
      </c>
      <c r="N295" t="s">
        <v>2880</v>
      </c>
      <c r="O295" t="s">
        <v>2881</v>
      </c>
      <c r="P295" t="s">
        <v>2882</v>
      </c>
      <c r="X295">
        <v>2115575</v>
      </c>
      <c r="Y295" t="s">
        <v>961</v>
      </c>
      <c r="Z295" t="s">
        <v>2544</v>
      </c>
      <c r="AA295" t="s">
        <v>42</v>
      </c>
      <c r="AB295" t="s">
        <v>2883</v>
      </c>
    </row>
    <row r="296" spans="1:28" x14ac:dyDescent="0.2">
      <c r="A296" t="s">
        <v>2884</v>
      </c>
      <c r="B296" t="s">
        <v>2885</v>
      </c>
      <c r="C296" t="s">
        <v>2886</v>
      </c>
      <c r="D296" t="s">
        <v>31</v>
      </c>
      <c r="F296" t="s">
        <v>32</v>
      </c>
      <c r="G296" s="1">
        <v>34335</v>
      </c>
      <c r="H296" t="s">
        <v>33</v>
      </c>
      <c r="I296" t="s">
        <v>2887</v>
      </c>
      <c r="J296" t="s">
        <v>2887</v>
      </c>
      <c r="K296" t="s">
        <v>2888</v>
      </c>
      <c r="N296" t="s">
        <v>2889</v>
      </c>
      <c r="O296" t="s">
        <v>2890</v>
      </c>
      <c r="P296" t="s">
        <v>2891</v>
      </c>
      <c r="X296">
        <v>2127383</v>
      </c>
      <c r="Y296" t="s">
        <v>2892</v>
      </c>
      <c r="Z296" t="s">
        <v>2544</v>
      </c>
      <c r="AA296" t="s">
        <v>42</v>
      </c>
      <c r="AB296" t="s">
        <v>221</v>
      </c>
    </row>
    <row r="297" spans="1:28" x14ac:dyDescent="0.2">
      <c r="A297" t="s">
        <v>2893</v>
      </c>
      <c r="B297" t="s">
        <v>2894</v>
      </c>
      <c r="C297" t="s">
        <v>2895</v>
      </c>
      <c r="D297" t="s">
        <v>31</v>
      </c>
      <c r="F297" t="s">
        <v>32</v>
      </c>
      <c r="G297" s="1">
        <v>37622</v>
      </c>
      <c r="H297" t="s">
        <v>33</v>
      </c>
      <c r="I297" t="s">
        <v>2896</v>
      </c>
      <c r="J297" t="s">
        <v>2896</v>
      </c>
      <c r="K297" t="s">
        <v>2897</v>
      </c>
      <c r="M297" t="s">
        <v>59</v>
      </c>
      <c r="N297" t="s">
        <v>2898</v>
      </c>
      <c r="O297" t="s">
        <v>2899</v>
      </c>
      <c r="P297" t="s">
        <v>2900</v>
      </c>
      <c r="X297">
        <v>2303701</v>
      </c>
      <c r="Y297" t="s">
        <v>2892</v>
      </c>
      <c r="Z297" t="s">
        <v>2544</v>
      </c>
      <c r="AA297" t="s">
        <v>42</v>
      </c>
    </row>
    <row r="298" spans="1:28" x14ac:dyDescent="0.2">
      <c r="A298" t="s">
        <v>2901</v>
      </c>
      <c r="B298" t="s">
        <v>2902</v>
      </c>
      <c r="C298" t="s">
        <v>2903</v>
      </c>
      <c r="D298" t="s">
        <v>31</v>
      </c>
      <c r="F298" t="s">
        <v>32</v>
      </c>
      <c r="G298" s="1">
        <v>41944</v>
      </c>
      <c r="H298" t="s">
        <v>33</v>
      </c>
      <c r="I298" t="s">
        <v>2904</v>
      </c>
      <c r="J298" t="s">
        <v>2905</v>
      </c>
      <c r="K298" t="s">
        <v>2906</v>
      </c>
      <c r="M298" t="s">
        <v>59</v>
      </c>
      <c r="N298" t="s">
        <v>2907</v>
      </c>
      <c r="O298" t="s">
        <v>2908</v>
      </c>
      <c r="P298">
        <v>498955054610</v>
      </c>
      <c r="X298">
        <v>2521786</v>
      </c>
      <c r="Y298" t="s">
        <v>2909</v>
      </c>
      <c r="Z298" t="s">
        <v>2544</v>
      </c>
      <c r="AA298" t="s">
        <v>42</v>
      </c>
    </row>
    <row r="299" spans="1:28" x14ac:dyDescent="0.2">
      <c r="A299" t="s">
        <v>2910</v>
      </c>
      <c r="B299" t="s">
        <v>2911</v>
      </c>
      <c r="C299" t="s">
        <v>2912</v>
      </c>
      <c r="D299" t="s">
        <v>31</v>
      </c>
      <c r="F299" t="s">
        <v>32</v>
      </c>
      <c r="H299" t="s">
        <v>67</v>
      </c>
      <c r="I299" t="s">
        <v>2913</v>
      </c>
      <c r="J299" t="s">
        <v>2914</v>
      </c>
      <c r="K299" t="s">
        <v>2915</v>
      </c>
      <c r="N299" t="s">
        <v>2916</v>
      </c>
      <c r="O299" t="s">
        <v>2917</v>
      </c>
      <c r="P299" t="s">
        <v>2918</v>
      </c>
      <c r="X299">
        <v>2555334</v>
      </c>
      <c r="Y299" t="s">
        <v>2919</v>
      </c>
      <c r="Z299" t="s">
        <v>2544</v>
      </c>
      <c r="AA299" t="s">
        <v>42</v>
      </c>
    </row>
    <row r="300" spans="1:28" x14ac:dyDescent="0.2">
      <c r="A300" t="s">
        <v>2920</v>
      </c>
      <c r="B300" t="s">
        <v>2921</v>
      </c>
      <c r="C300" t="s">
        <v>2922</v>
      </c>
      <c r="D300" t="s">
        <v>31</v>
      </c>
      <c r="F300" t="s">
        <v>32</v>
      </c>
      <c r="G300" s="1">
        <v>24473</v>
      </c>
      <c r="H300" t="s">
        <v>91</v>
      </c>
      <c r="I300" t="s">
        <v>2923</v>
      </c>
      <c r="J300" t="s">
        <v>2923</v>
      </c>
      <c r="K300" t="s">
        <v>2924</v>
      </c>
      <c r="N300" t="s">
        <v>2925</v>
      </c>
      <c r="O300" t="s">
        <v>2926</v>
      </c>
      <c r="P300" t="s">
        <v>2927</v>
      </c>
      <c r="X300">
        <v>2586070</v>
      </c>
      <c r="Y300" t="s">
        <v>2928</v>
      </c>
      <c r="Z300" t="s">
        <v>2544</v>
      </c>
      <c r="AA300" t="s">
        <v>42</v>
      </c>
      <c r="AB300" t="s">
        <v>2929</v>
      </c>
    </row>
    <row r="301" spans="1:28" x14ac:dyDescent="0.2">
      <c r="A301" t="s">
        <v>2930</v>
      </c>
      <c r="B301" t="s">
        <v>2931</v>
      </c>
      <c r="C301" t="s">
        <v>2932</v>
      </c>
      <c r="D301" t="s">
        <v>31</v>
      </c>
      <c r="F301" t="s">
        <v>32</v>
      </c>
      <c r="H301" t="s">
        <v>33</v>
      </c>
      <c r="I301" t="s">
        <v>2933</v>
      </c>
      <c r="J301" t="s">
        <v>2933</v>
      </c>
      <c r="K301" t="s">
        <v>2934</v>
      </c>
      <c r="L301" t="s">
        <v>59</v>
      </c>
      <c r="M301" t="s">
        <v>59</v>
      </c>
      <c r="N301" t="s">
        <v>2935</v>
      </c>
      <c r="O301" t="s">
        <v>2936</v>
      </c>
      <c r="P301" t="s">
        <v>2937</v>
      </c>
      <c r="X301">
        <v>2678319</v>
      </c>
      <c r="Y301" t="s">
        <v>2938</v>
      </c>
      <c r="Z301" t="s">
        <v>2544</v>
      </c>
      <c r="AA301" t="s">
        <v>42</v>
      </c>
    </row>
    <row r="302" spans="1:28" x14ac:dyDescent="0.2">
      <c r="A302" t="s">
        <v>2939</v>
      </c>
      <c r="B302" t="s">
        <v>2940</v>
      </c>
      <c r="C302" t="s">
        <v>2941</v>
      </c>
      <c r="D302" t="s">
        <v>31</v>
      </c>
      <c r="F302" t="s">
        <v>32</v>
      </c>
      <c r="H302" t="s">
        <v>33</v>
      </c>
      <c r="I302" t="s">
        <v>2942</v>
      </c>
      <c r="J302" t="s">
        <v>2942</v>
      </c>
      <c r="N302" t="s">
        <v>2943</v>
      </c>
      <c r="O302" t="s">
        <v>2944</v>
      </c>
      <c r="P302">
        <f>49-89 -630-205-600</f>
        <v>-1475</v>
      </c>
      <c r="X302">
        <v>2920895</v>
      </c>
      <c r="Y302" t="s">
        <v>2945</v>
      </c>
      <c r="Z302" t="s">
        <v>2544</v>
      </c>
      <c r="AA302" t="s">
        <v>42</v>
      </c>
    </row>
    <row r="303" spans="1:28" x14ac:dyDescent="0.2">
      <c r="A303" t="s">
        <v>2946</v>
      </c>
      <c r="B303" t="s">
        <v>2947</v>
      </c>
      <c r="C303" t="s">
        <v>2948</v>
      </c>
      <c r="D303" t="s">
        <v>31</v>
      </c>
      <c r="F303" t="s">
        <v>32</v>
      </c>
      <c r="G303" s="1">
        <v>15707</v>
      </c>
      <c r="H303" t="s">
        <v>33</v>
      </c>
      <c r="I303" t="s">
        <v>2949</v>
      </c>
      <c r="J303" t="s">
        <v>2949</v>
      </c>
      <c r="K303" t="s">
        <v>2950</v>
      </c>
      <c r="M303" t="s">
        <v>59</v>
      </c>
      <c r="N303" t="s">
        <v>2951</v>
      </c>
      <c r="O303" t="s">
        <v>2952</v>
      </c>
      <c r="P303" t="s">
        <v>2953</v>
      </c>
      <c r="X303">
        <v>3001729</v>
      </c>
      <c r="Y303" t="s">
        <v>2954</v>
      </c>
      <c r="Z303" t="s">
        <v>2544</v>
      </c>
      <c r="AA303" t="s">
        <v>42</v>
      </c>
    </row>
    <row r="304" spans="1:28" x14ac:dyDescent="0.2">
      <c r="A304" t="s">
        <v>2955</v>
      </c>
      <c r="B304" t="s">
        <v>2956</v>
      </c>
      <c r="C304" t="s">
        <v>2957</v>
      </c>
      <c r="D304" t="s">
        <v>31</v>
      </c>
      <c r="F304" t="s">
        <v>32</v>
      </c>
      <c r="H304" t="s">
        <v>67</v>
      </c>
      <c r="I304" t="s">
        <v>2958</v>
      </c>
      <c r="J304" t="s">
        <v>2959</v>
      </c>
      <c r="K304" t="s">
        <v>2960</v>
      </c>
      <c r="N304" t="s">
        <v>2961</v>
      </c>
      <c r="O304" t="s">
        <v>2962</v>
      </c>
      <c r="X304">
        <v>3016677</v>
      </c>
      <c r="Y304" t="s">
        <v>2963</v>
      </c>
      <c r="Z304" t="s">
        <v>2544</v>
      </c>
      <c r="AA304" t="s">
        <v>42</v>
      </c>
    </row>
    <row r="305" spans="1:28" x14ac:dyDescent="0.2">
      <c r="A305" t="s">
        <v>2964</v>
      </c>
      <c r="B305" t="s">
        <v>2965</v>
      </c>
      <c r="C305" t="s">
        <v>2966</v>
      </c>
      <c r="D305" t="s">
        <v>31</v>
      </c>
      <c r="F305" t="s">
        <v>32</v>
      </c>
      <c r="G305" s="1">
        <v>17168</v>
      </c>
      <c r="H305" t="s">
        <v>33</v>
      </c>
      <c r="I305" t="s">
        <v>2967</v>
      </c>
      <c r="J305" t="s">
        <v>2967</v>
      </c>
      <c r="K305" t="s">
        <v>2968</v>
      </c>
      <c r="M305" t="s">
        <v>59</v>
      </c>
      <c r="N305" t="s">
        <v>2969</v>
      </c>
      <c r="O305" t="s">
        <v>2970</v>
      </c>
      <c r="P305">
        <f>49-89-544-2060</f>
        <v>-2644</v>
      </c>
      <c r="Q305" t="s">
        <v>2964</v>
      </c>
      <c r="X305">
        <v>3039391</v>
      </c>
      <c r="Y305" t="s">
        <v>2797</v>
      </c>
      <c r="Z305" t="s">
        <v>2544</v>
      </c>
      <c r="AA305" t="s">
        <v>42</v>
      </c>
      <c r="AB305" t="s">
        <v>678</v>
      </c>
    </row>
    <row r="306" spans="1:28" x14ac:dyDescent="0.2">
      <c r="A306" t="s">
        <v>2971</v>
      </c>
      <c r="B306" t="s">
        <v>2972</v>
      </c>
      <c r="C306" t="s">
        <v>2973</v>
      </c>
      <c r="D306" t="s">
        <v>31</v>
      </c>
      <c r="F306" t="s">
        <v>32</v>
      </c>
      <c r="H306" t="s">
        <v>33</v>
      </c>
      <c r="I306" t="s">
        <v>2974</v>
      </c>
      <c r="J306" t="s">
        <v>2974</v>
      </c>
      <c r="K306" t="s">
        <v>2975</v>
      </c>
      <c r="N306" t="s">
        <v>2976</v>
      </c>
      <c r="O306" t="s">
        <v>2977</v>
      </c>
      <c r="Q306" t="s">
        <v>2978</v>
      </c>
      <c r="X306">
        <v>3319974</v>
      </c>
      <c r="Y306" t="s">
        <v>2979</v>
      </c>
      <c r="Z306" t="s">
        <v>2544</v>
      </c>
      <c r="AA306" t="s">
        <v>42</v>
      </c>
    </row>
    <row r="307" spans="1:28" x14ac:dyDescent="0.2">
      <c r="A307" t="s">
        <v>2980</v>
      </c>
      <c r="B307" t="s">
        <v>2981</v>
      </c>
      <c r="C307" t="s">
        <v>2982</v>
      </c>
      <c r="D307" t="s">
        <v>31</v>
      </c>
      <c r="F307" t="s">
        <v>32</v>
      </c>
      <c r="G307" s="1">
        <v>36161</v>
      </c>
      <c r="H307" t="s">
        <v>33</v>
      </c>
      <c r="I307" t="s">
        <v>2983</v>
      </c>
      <c r="J307" t="s">
        <v>2983</v>
      </c>
      <c r="K307" t="s">
        <v>2984</v>
      </c>
      <c r="N307" t="s">
        <v>2985</v>
      </c>
      <c r="O307" t="s">
        <v>2986</v>
      </c>
      <c r="P307" t="s">
        <v>2987</v>
      </c>
      <c r="X307">
        <v>3370683</v>
      </c>
      <c r="Y307" t="s">
        <v>2988</v>
      </c>
      <c r="Z307" t="s">
        <v>2544</v>
      </c>
      <c r="AA307" t="s">
        <v>42</v>
      </c>
    </row>
    <row r="308" spans="1:28" x14ac:dyDescent="0.2">
      <c r="A308" t="s">
        <v>2989</v>
      </c>
      <c r="B308" t="s">
        <v>2990</v>
      </c>
      <c r="C308" t="s">
        <v>2991</v>
      </c>
      <c r="D308" t="s">
        <v>135</v>
      </c>
      <c r="F308" t="s">
        <v>32</v>
      </c>
      <c r="G308" s="1">
        <v>43528</v>
      </c>
      <c r="H308" t="s">
        <v>67</v>
      </c>
      <c r="I308" t="s">
        <v>2992</v>
      </c>
      <c r="J308" t="s">
        <v>2993</v>
      </c>
      <c r="K308" t="s">
        <v>2994</v>
      </c>
      <c r="L308" t="s">
        <v>59</v>
      </c>
      <c r="M308" t="s">
        <v>59</v>
      </c>
      <c r="N308" t="s">
        <v>2995</v>
      </c>
      <c r="O308" t="s">
        <v>2996</v>
      </c>
      <c r="Q308" t="s">
        <v>2997</v>
      </c>
      <c r="X308">
        <v>3476973</v>
      </c>
      <c r="Y308" t="s">
        <v>2998</v>
      </c>
      <c r="Z308" t="s">
        <v>2544</v>
      </c>
      <c r="AA308" t="s">
        <v>42</v>
      </c>
    </row>
    <row r="309" spans="1:28" x14ac:dyDescent="0.2">
      <c r="A309" t="s">
        <v>2999</v>
      </c>
      <c r="B309" t="s">
        <v>3000</v>
      </c>
      <c r="C309" t="s">
        <v>3001</v>
      </c>
      <c r="D309" t="s">
        <v>31</v>
      </c>
      <c r="F309" t="s">
        <v>32</v>
      </c>
      <c r="G309" s="1">
        <v>42370</v>
      </c>
      <c r="H309" t="s">
        <v>67</v>
      </c>
      <c r="I309" t="s">
        <v>3002</v>
      </c>
      <c r="J309" t="s">
        <v>3003</v>
      </c>
      <c r="K309" t="s">
        <v>3004</v>
      </c>
      <c r="N309" t="s">
        <v>3005</v>
      </c>
      <c r="O309" t="s">
        <v>3006</v>
      </c>
      <c r="P309" t="s">
        <v>3007</v>
      </c>
      <c r="X309">
        <v>3948661</v>
      </c>
      <c r="Y309" t="s">
        <v>3008</v>
      </c>
      <c r="Z309" t="s">
        <v>2544</v>
      </c>
      <c r="AA309" t="s">
        <v>42</v>
      </c>
      <c r="AB309" t="s">
        <v>1330</v>
      </c>
    </row>
    <row r="310" spans="1:28" x14ac:dyDescent="0.2">
      <c r="A310" t="s">
        <v>3009</v>
      </c>
      <c r="B310" t="s">
        <v>3010</v>
      </c>
      <c r="C310" t="s">
        <v>3011</v>
      </c>
      <c r="D310" t="s">
        <v>31</v>
      </c>
      <c r="F310" t="s">
        <v>32</v>
      </c>
      <c r="G310" s="1">
        <v>35401</v>
      </c>
      <c r="H310" t="s">
        <v>67</v>
      </c>
      <c r="I310" t="s">
        <v>3012</v>
      </c>
      <c r="J310" t="s">
        <v>3013</v>
      </c>
      <c r="N310" t="s">
        <v>3014</v>
      </c>
      <c r="O310" t="s">
        <v>3015</v>
      </c>
      <c r="P310" t="s">
        <v>3016</v>
      </c>
      <c r="X310">
        <v>4438005</v>
      </c>
      <c r="Y310" t="s">
        <v>3017</v>
      </c>
    </row>
    <row r="311" spans="1:28" x14ac:dyDescent="0.2">
      <c r="A311" t="s">
        <v>3018</v>
      </c>
      <c r="B311" t="s">
        <v>3019</v>
      </c>
      <c r="C311" t="s">
        <v>3020</v>
      </c>
      <c r="D311" t="s">
        <v>31</v>
      </c>
      <c r="F311" t="s">
        <v>32</v>
      </c>
      <c r="G311" s="1">
        <v>37951</v>
      </c>
      <c r="H311" t="s">
        <v>67</v>
      </c>
      <c r="I311" t="s">
        <v>3021</v>
      </c>
      <c r="J311" t="s">
        <v>3022</v>
      </c>
      <c r="N311" t="s">
        <v>3023</v>
      </c>
      <c r="O311" t="s">
        <v>3024</v>
      </c>
      <c r="P311" t="s">
        <v>3025</v>
      </c>
      <c r="X311">
        <v>4438097</v>
      </c>
      <c r="Y311" t="s">
        <v>3026</v>
      </c>
      <c r="Z311" t="s">
        <v>2133</v>
      </c>
      <c r="AA311" t="s">
        <v>2134</v>
      </c>
    </row>
    <row r="312" spans="1:28" x14ac:dyDescent="0.2">
      <c r="A312" t="s">
        <v>3027</v>
      </c>
      <c r="B312" t="s">
        <v>3028</v>
      </c>
      <c r="C312" t="s">
        <v>3029</v>
      </c>
      <c r="D312" t="s">
        <v>31</v>
      </c>
      <c r="F312" t="s">
        <v>32</v>
      </c>
      <c r="G312" s="1">
        <v>44334</v>
      </c>
      <c r="H312" t="s">
        <v>67</v>
      </c>
      <c r="I312" t="s">
        <v>3030</v>
      </c>
      <c r="J312" t="s">
        <v>3031</v>
      </c>
      <c r="N312" t="s">
        <v>3032</v>
      </c>
      <c r="O312" t="s">
        <v>3033</v>
      </c>
      <c r="P312" t="s">
        <v>3034</v>
      </c>
      <c r="X312">
        <v>4438197</v>
      </c>
      <c r="Y312" t="s">
        <v>3035</v>
      </c>
      <c r="Z312" t="s">
        <v>3036</v>
      </c>
      <c r="AA312" t="s">
        <v>3037</v>
      </c>
    </row>
    <row r="313" spans="1:28" x14ac:dyDescent="0.2">
      <c r="A313" t="s">
        <v>3038</v>
      </c>
      <c r="B313" t="s">
        <v>3039</v>
      </c>
      <c r="C313" t="s">
        <v>3040</v>
      </c>
      <c r="D313" t="s">
        <v>31</v>
      </c>
      <c r="F313" t="s">
        <v>32</v>
      </c>
      <c r="G313" s="1">
        <v>45399</v>
      </c>
      <c r="H313" t="s">
        <v>67</v>
      </c>
      <c r="I313" t="s">
        <v>3041</v>
      </c>
      <c r="J313" t="s">
        <v>3042</v>
      </c>
      <c r="N313" t="s">
        <v>3043</v>
      </c>
      <c r="O313" t="s">
        <v>3044</v>
      </c>
      <c r="X313">
        <v>4438348</v>
      </c>
      <c r="Y313" t="s">
        <v>3045</v>
      </c>
      <c r="Z313" t="s">
        <v>2133</v>
      </c>
      <c r="AA313" t="s">
        <v>2134</v>
      </c>
    </row>
    <row r="314" spans="1:28" x14ac:dyDescent="0.2">
      <c r="A314" t="s">
        <v>3046</v>
      </c>
      <c r="B314" t="s">
        <v>3047</v>
      </c>
      <c r="C314" t="s">
        <v>3048</v>
      </c>
      <c r="D314" t="s">
        <v>31</v>
      </c>
      <c r="F314" t="s">
        <v>32</v>
      </c>
      <c r="G314" s="1">
        <v>44960</v>
      </c>
      <c r="H314" t="s">
        <v>67</v>
      </c>
      <c r="I314" t="s">
        <v>3049</v>
      </c>
      <c r="J314" t="s">
        <v>3050</v>
      </c>
      <c r="N314" t="s">
        <v>3051</v>
      </c>
      <c r="O314" t="s">
        <v>3052</v>
      </c>
      <c r="P314" t="s">
        <v>3053</v>
      </c>
      <c r="X314">
        <v>4438377</v>
      </c>
      <c r="Y314" t="s">
        <v>3054</v>
      </c>
      <c r="Z314" t="s">
        <v>2133</v>
      </c>
      <c r="AA314" t="s">
        <v>2134</v>
      </c>
    </row>
    <row r="315" spans="1:28" x14ac:dyDescent="0.2">
      <c r="A315" t="s">
        <v>3055</v>
      </c>
      <c r="B315" t="s">
        <v>3056</v>
      </c>
      <c r="C315" t="s">
        <v>3057</v>
      </c>
      <c r="D315" t="s">
        <v>31</v>
      </c>
      <c r="F315" t="s">
        <v>32</v>
      </c>
      <c r="G315" s="1">
        <v>39161</v>
      </c>
      <c r="H315" t="s">
        <v>67</v>
      </c>
      <c r="I315" t="s">
        <v>3058</v>
      </c>
      <c r="J315" t="s">
        <v>3059</v>
      </c>
      <c r="N315" t="s">
        <v>3060</v>
      </c>
      <c r="O315" t="s">
        <v>3061</v>
      </c>
      <c r="X315">
        <v>4438395</v>
      </c>
      <c r="Y315" t="s">
        <v>3062</v>
      </c>
    </row>
    <row r="316" spans="1:28" x14ac:dyDescent="0.2">
      <c r="A316" t="s">
        <v>3063</v>
      </c>
      <c r="B316" t="s">
        <v>3064</v>
      </c>
      <c r="C316" t="s">
        <v>3065</v>
      </c>
      <c r="D316" t="s">
        <v>31</v>
      </c>
      <c r="F316" t="s">
        <v>32</v>
      </c>
      <c r="G316" s="1">
        <v>35951</v>
      </c>
      <c r="H316" t="s">
        <v>67</v>
      </c>
      <c r="I316" t="s">
        <v>3066</v>
      </c>
      <c r="J316" t="s">
        <v>3067</v>
      </c>
      <c r="N316" t="s">
        <v>3068</v>
      </c>
      <c r="O316" t="s">
        <v>3069</v>
      </c>
      <c r="P316" t="s">
        <v>3070</v>
      </c>
      <c r="X316">
        <v>4438424</v>
      </c>
      <c r="Y316" t="s">
        <v>3071</v>
      </c>
      <c r="Z316" t="s">
        <v>2133</v>
      </c>
      <c r="AA316" t="s">
        <v>2134</v>
      </c>
    </row>
    <row r="317" spans="1:28" x14ac:dyDescent="0.2">
      <c r="A317" t="s">
        <v>3072</v>
      </c>
      <c r="B317" t="s">
        <v>3073</v>
      </c>
      <c r="C317" t="s">
        <v>3074</v>
      </c>
      <c r="D317" t="s">
        <v>31</v>
      </c>
      <c r="F317" t="s">
        <v>32</v>
      </c>
      <c r="G317" s="1">
        <v>35292</v>
      </c>
      <c r="H317" t="s">
        <v>67</v>
      </c>
      <c r="I317" t="s">
        <v>3075</v>
      </c>
      <c r="J317" t="s">
        <v>3076</v>
      </c>
      <c r="N317" t="s">
        <v>3077</v>
      </c>
      <c r="O317" t="s">
        <v>3078</v>
      </c>
      <c r="P317" t="s">
        <v>3079</v>
      </c>
      <c r="X317">
        <v>4438747</v>
      </c>
      <c r="Y317" t="s">
        <v>3080</v>
      </c>
      <c r="Z317" t="s">
        <v>2133</v>
      </c>
      <c r="AA317" t="s">
        <v>2134</v>
      </c>
    </row>
    <row r="318" spans="1:28" x14ac:dyDescent="0.2">
      <c r="A318" t="s">
        <v>3081</v>
      </c>
      <c r="B318" t="s">
        <v>3082</v>
      </c>
      <c r="C318" t="s">
        <v>3083</v>
      </c>
      <c r="D318" t="s">
        <v>31</v>
      </c>
      <c r="F318" t="s">
        <v>32</v>
      </c>
      <c r="G318" s="1">
        <v>45146</v>
      </c>
      <c r="H318" t="s">
        <v>67</v>
      </c>
      <c r="I318" t="s">
        <v>3084</v>
      </c>
      <c r="J318" t="s">
        <v>3085</v>
      </c>
      <c r="K318" t="s">
        <v>3086</v>
      </c>
      <c r="N318" t="s">
        <v>3087</v>
      </c>
      <c r="O318" t="s">
        <v>3088</v>
      </c>
      <c r="P318" t="s">
        <v>3089</v>
      </c>
      <c r="X318">
        <v>4438786</v>
      </c>
      <c r="Y318" t="s">
        <v>3090</v>
      </c>
    </row>
    <row r="319" spans="1:28" x14ac:dyDescent="0.2">
      <c r="A319" t="s">
        <v>3091</v>
      </c>
      <c r="B319" t="s">
        <v>3092</v>
      </c>
      <c r="C319" t="s">
        <v>3093</v>
      </c>
      <c r="D319" t="s">
        <v>31</v>
      </c>
      <c r="F319" t="s">
        <v>32</v>
      </c>
      <c r="G319" s="1">
        <v>42458</v>
      </c>
      <c r="H319" t="s">
        <v>67</v>
      </c>
      <c r="I319" t="s">
        <v>3094</v>
      </c>
      <c r="J319" t="s">
        <v>3095</v>
      </c>
      <c r="N319" t="s">
        <v>3096</v>
      </c>
      <c r="O319" t="s">
        <v>3097</v>
      </c>
      <c r="P319" t="s">
        <v>3098</v>
      </c>
      <c r="X319">
        <v>4438873</v>
      </c>
      <c r="Y319" t="s">
        <v>3099</v>
      </c>
      <c r="Z319" t="s">
        <v>3100</v>
      </c>
      <c r="AA319" t="s">
        <v>2134</v>
      </c>
    </row>
    <row r="320" spans="1:28" x14ac:dyDescent="0.2">
      <c r="A320" t="s">
        <v>3101</v>
      </c>
      <c r="B320" t="s">
        <v>3102</v>
      </c>
      <c r="C320" t="s">
        <v>3103</v>
      </c>
      <c r="D320" t="s">
        <v>31</v>
      </c>
      <c r="F320" t="s">
        <v>32</v>
      </c>
      <c r="G320" s="1">
        <v>40826</v>
      </c>
      <c r="H320" t="s">
        <v>67</v>
      </c>
      <c r="I320" t="s">
        <v>3104</v>
      </c>
      <c r="J320" t="s">
        <v>3105</v>
      </c>
      <c r="N320" t="s">
        <v>3106</v>
      </c>
      <c r="O320" t="s">
        <v>3107</v>
      </c>
      <c r="P320">
        <v>37259191989</v>
      </c>
      <c r="X320">
        <v>4439285</v>
      </c>
      <c r="Y320" t="s">
        <v>3108</v>
      </c>
    </row>
    <row r="321" spans="1:27" x14ac:dyDescent="0.2">
      <c r="A321" t="s">
        <v>3109</v>
      </c>
      <c r="B321" t="s">
        <v>3110</v>
      </c>
      <c r="C321" t="s">
        <v>3111</v>
      </c>
      <c r="D321" t="s">
        <v>31</v>
      </c>
      <c r="F321" t="s">
        <v>32</v>
      </c>
      <c r="G321" s="1">
        <v>45545</v>
      </c>
      <c r="H321" t="s">
        <v>67</v>
      </c>
      <c r="I321" t="s">
        <v>3112</v>
      </c>
      <c r="J321" t="s">
        <v>3113</v>
      </c>
      <c r="N321" t="s">
        <v>3114</v>
      </c>
      <c r="O321" t="s">
        <v>3115</v>
      </c>
      <c r="P321" t="s">
        <v>3116</v>
      </c>
      <c r="X321">
        <v>4439634</v>
      </c>
      <c r="Y321" t="s">
        <v>3117</v>
      </c>
      <c r="Z321" t="s">
        <v>1097</v>
      </c>
      <c r="AA321" t="s">
        <v>888</v>
      </c>
    </row>
    <row r="322" spans="1:27" x14ac:dyDescent="0.2">
      <c r="A322" t="s">
        <v>3118</v>
      </c>
      <c r="B322" t="s">
        <v>3119</v>
      </c>
      <c r="C322" t="s">
        <v>3120</v>
      </c>
      <c r="D322" t="s">
        <v>135</v>
      </c>
      <c r="F322" t="s">
        <v>32</v>
      </c>
      <c r="G322" s="1">
        <v>40057</v>
      </c>
      <c r="H322" t="s">
        <v>67</v>
      </c>
      <c r="I322" t="s">
        <v>3121</v>
      </c>
      <c r="J322" t="s">
        <v>3122</v>
      </c>
      <c r="K322" t="s">
        <v>3123</v>
      </c>
      <c r="L322" t="s">
        <v>59</v>
      </c>
      <c r="M322" t="s">
        <v>59</v>
      </c>
      <c r="N322" t="s">
        <v>3124</v>
      </c>
      <c r="O322" t="s">
        <v>3125</v>
      </c>
      <c r="P322" t="s">
        <v>3126</v>
      </c>
      <c r="X322">
        <v>4439869</v>
      </c>
      <c r="Y322" t="s">
        <v>3127</v>
      </c>
    </row>
    <row r="323" spans="1:27" x14ac:dyDescent="0.2">
      <c r="A323" t="s">
        <v>3128</v>
      </c>
      <c r="B323" t="s">
        <v>3129</v>
      </c>
      <c r="C323" t="s">
        <v>3130</v>
      </c>
      <c r="D323" t="s">
        <v>31</v>
      </c>
      <c r="F323" t="s">
        <v>32</v>
      </c>
      <c r="G323" s="1">
        <v>41201</v>
      </c>
      <c r="H323" t="s">
        <v>33</v>
      </c>
      <c r="I323" t="s">
        <v>3131</v>
      </c>
      <c r="J323" t="s">
        <v>3132</v>
      </c>
      <c r="N323" t="s">
        <v>3133</v>
      </c>
      <c r="O323" t="s">
        <v>3134</v>
      </c>
      <c r="P323" t="s">
        <v>3135</v>
      </c>
      <c r="X323">
        <v>4440037</v>
      </c>
      <c r="Y323" t="s">
        <v>3136</v>
      </c>
      <c r="Z323" t="s">
        <v>2133</v>
      </c>
      <c r="AA323" t="s">
        <v>2134</v>
      </c>
    </row>
    <row r="324" spans="1:27" x14ac:dyDescent="0.2">
      <c r="A324" t="s">
        <v>3137</v>
      </c>
      <c r="B324" t="s">
        <v>3138</v>
      </c>
      <c r="C324" t="s">
        <v>3139</v>
      </c>
      <c r="D324" t="s">
        <v>31</v>
      </c>
      <c r="F324" t="s">
        <v>32</v>
      </c>
      <c r="G324" s="1">
        <v>44621</v>
      </c>
      <c r="H324" t="s">
        <v>67</v>
      </c>
      <c r="I324" t="s">
        <v>3140</v>
      </c>
      <c r="J324" t="s">
        <v>3141</v>
      </c>
      <c r="K324" t="s">
        <v>3142</v>
      </c>
      <c r="N324" t="s">
        <v>3143</v>
      </c>
      <c r="P324" t="s">
        <v>3144</v>
      </c>
      <c r="Q324" t="s">
        <v>3145</v>
      </c>
      <c r="X324">
        <v>4440187</v>
      </c>
      <c r="Z324" t="s">
        <v>3146</v>
      </c>
      <c r="AA324" t="s">
        <v>821</v>
      </c>
    </row>
    <row r="325" spans="1:27" x14ac:dyDescent="0.2">
      <c r="A325" t="s">
        <v>3147</v>
      </c>
      <c r="B325" t="s">
        <v>3148</v>
      </c>
      <c r="C325" t="s">
        <v>3149</v>
      </c>
      <c r="D325" t="s">
        <v>31</v>
      </c>
      <c r="F325" t="s">
        <v>32</v>
      </c>
      <c r="G325" s="1">
        <v>34669</v>
      </c>
      <c r="H325" t="s">
        <v>67</v>
      </c>
      <c r="I325" t="s">
        <v>3150</v>
      </c>
      <c r="J325" t="s">
        <v>3151</v>
      </c>
      <c r="N325" t="s">
        <v>3152</v>
      </c>
      <c r="O325" t="s">
        <v>3153</v>
      </c>
      <c r="P325" t="s">
        <v>3154</v>
      </c>
      <c r="X325">
        <v>4440626</v>
      </c>
      <c r="Y325" t="s">
        <v>777</v>
      </c>
      <c r="Z325" t="s">
        <v>2133</v>
      </c>
      <c r="AA325" t="s">
        <v>2134</v>
      </c>
    </row>
    <row r="326" spans="1:27" x14ac:dyDescent="0.2">
      <c r="A326" t="s">
        <v>3155</v>
      </c>
      <c r="B326" t="s">
        <v>3156</v>
      </c>
      <c r="C326" t="s">
        <v>3157</v>
      </c>
      <c r="D326" t="s">
        <v>31</v>
      </c>
      <c r="F326" t="s">
        <v>32</v>
      </c>
      <c r="H326" t="s">
        <v>33</v>
      </c>
      <c r="I326" t="s">
        <v>3158</v>
      </c>
      <c r="J326" t="s">
        <v>3159</v>
      </c>
      <c r="K326" t="s">
        <v>3160</v>
      </c>
      <c r="N326" t="s">
        <v>3161</v>
      </c>
      <c r="X326">
        <v>4443197</v>
      </c>
      <c r="Y326" t="s">
        <v>3162</v>
      </c>
    </row>
    <row r="327" spans="1:27" x14ac:dyDescent="0.2">
      <c r="A327" t="s">
        <v>3163</v>
      </c>
      <c r="B327" t="s">
        <v>3164</v>
      </c>
      <c r="C327" t="s">
        <v>3165</v>
      </c>
      <c r="D327" t="s">
        <v>135</v>
      </c>
      <c r="F327" t="s">
        <v>32</v>
      </c>
      <c r="G327" s="1">
        <v>43160</v>
      </c>
      <c r="H327" t="s">
        <v>67</v>
      </c>
      <c r="I327" t="s">
        <v>3166</v>
      </c>
      <c r="J327" t="s">
        <v>3167</v>
      </c>
      <c r="K327" t="s">
        <v>3168</v>
      </c>
      <c r="M327" t="s">
        <v>59</v>
      </c>
      <c r="N327" t="s">
        <v>3169</v>
      </c>
      <c r="O327" t="s">
        <v>3170</v>
      </c>
      <c r="P327">
        <v>972526339331</v>
      </c>
      <c r="Q327" t="s">
        <v>3171</v>
      </c>
      <c r="X327">
        <v>4443845</v>
      </c>
      <c r="Y327" t="s">
        <v>3172</v>
      </c>
      <c r="Z327" t="s">
        <v>3173</v>
      </c>
      <c r="AA327" t="s">
        <v>3174</v>
      </c>
    </row>
    <row r="328" spans="1:27" x14ac:dyDescent="0.2">
      <c r="A328" t="s">
        <v>3175</v>
      </c>
      <c r="B328" t="s">
        <v>3176</v>
      </c>
      <c r="C328" t="s">
        <v>3177</v>
      </c>
      <c r="D328" t="s">
        <v>31</v>
      </c>
      <c r="F328" t="s">
        <v>32</v>
      </c>
      <c r="H328" t="s">
        <v>33</v>
      </c>
      <c r="I328" t="s">
        <v>3178</v>
      </c>
      <c r="J328" t="s">
        <v>3178</v>
      </c>
      <c r="K328" t="s">
        <v>3179</v>
      </c>
      <c r="N328" t="s">
        <v>3180</v>
      </c>
      <c r="O328" t="s">
        <v>3181</v>
      </c>
      <c r="P328" t="s">
        <v>3182</v>
      </c>
      <c r="X328">
        <v>4444645</v>
      </c>
      <c r="Y328" t="s">
        <v>3183</v>
      </c>
    </row>
    <row r="329" spans="1:27" x14ac:dyDescent="0.2">
      <c r="A329" t="s">
        <v>3184</v>
      </c>
      <c r="B329" t="s">
        <v>3185</v>
      </c>
      <c r="C329" t="s">
        <v>3186</v>
      </c>
      <c r="D329" t="s">
        <v>135</v>
      </c>
      <c r="F329" t="s">
        <v>32</v>
      </c>
      <c r="G329" s="1">
        <v>42872</v>
      </c>
      <c r="H329" t="s">
        <v>67</v>
      </c>
      <c r="I329" t="s">
        <v>3187</v>
      </c>
      <c r="J329" t="s">
        <v>3188</v>
      </c>
      <c r="K329" t="s">
        <v>3189</v>
      </c>
      <c r="M329" t="s">
        <v>59</v>
      </c>
      <c r="N329" t="s">
        <v>3190</v>
      </c>
      <c r="O329" t="s">
        <v>3191</v>
      </c>
      <c r="Q329" t="s">
        <v>3192</v>
      </c>
      <c r="X329">
        <v>4445933</v>
      </c>
      <c r="Y329" t="s">
        <v>3193</v>
      </c>
      <c r="Z329" t="s">
        <v>3194</v>
      </c>
      <c r="AA329" t="s">
        <v>3195</v>
      </c>
    </row>
    <row r="330" spans="1:27" x14ac:dyDescent="0.2">
      <c r="A330" t="s">
        <v>3196</v>
      </c>
      <c r="B330" t="s">
        <v>3197</v>
      </c>
      <c r="C330" t="s">
        <v>3198</v>
      </c>
      <c r="D330" t="s">
        <v>31</v>
      </c>
      <c r="F330" t="s">
        <v>32</v>
      </c>
      <c r="H330" t="s">
        <v>33</v>
      </c>
      <c r="I330" t="s">
        <v>3199</v>
      </c>
      <c r="J330" t="s">
        <v>3200</v>
      </c>
      <c r="K330" t="s">
        <v>3201</v>
      </c>
      <c r="N330" t="s">
        <v>3202</v>
      </c>
      <c r="O330" t="s">
        <v>3203</v>
      </c>
      <c r="P330" t="s">
        <v>3204</v>
      </c>
      <c r="Q330" t="s">
        <v>3205</v>
      </c>
      <c r="X330">
        <v>4446253</v>
      </c>
      <c r="Y330" t="s">
        <v>1173</v>
      </c>
      <c r="Z330" t="s">
        <v>3206</v>
      </c>
      <c r="AA330" t="s">
        <v>42</v>
      </c>
    </row>
    <row r="331" spans="1:27" x14ac:dyDescent="0.2">
      <c r="A331" t="s">
        <v>3207</v>
      </c>
      <c r="B331" t="s">
        <v>3208</v>
      </c>
      <c r="C331" t="s">
        <v>3209</v>
      </c>
      <c r="D331" t="s">
        <v>31</v>
      </c>
      <c r="F331" t="s">
        <v>32</v>
      </c>
      <c r="G331" s="1">
        <v>44530</v>
      </c>
      <c r="H331" t="s">
        <v>91</v>
      </c>
      <c r="I331" t="s">
        <v>3210</v>
      </c>
      <c r="J331" t="s">
        <v>3211</v>
      </c>
      <c r="X331">
        <v>4446389</v>
      </c>
      <c r="Z331" t="s">
        <v>3212</v>
      </c>
      <c r="AA331" t="s">
        <v>3213</v>
      </c>
    </row>
    <row r="332" spans="1:27" x14ac:dyDescent="0.2">
      <c r="A332" t="s">
        <v>3214</v>
      </c>
      <c r="B332" t="s">
        <v>3215</v>
      </c>
      <c r="C332" t="s">
        <v>3216</v>
      </c>
      <c r="D332" t="s">
        <v>31</v>
      </c>
      <c r="F332" t="s">
        <v>32</v>
      </c>
      <c r="G332" s="1">
        <v>38749</v>
      </c>
      <c r="H332" t="s">
        <v>91</v>
      </c>
      <c r="I332" t="s">
        <v>3217</v>
      </c>
      <c r="J332" t="s">
        <v>3218</v>
      </c>
      <c r="K332" t="s">
        <v>3219</v>
      </c>
      <c r="M332" t="s">
        <v>59</v>
      </c>
      <c r="N332" t="s">
        <v>3220</v>
      </c>
      <c r="O332" t="s">
        <v>3221</v>
      </c>
      <c r="P332">
        <v>96893552546</v>
      </c>
      <c r="X332">
        <v>4446687</v>
      </c>
      <c r="Y332" t="s">
        <v>3222</v>
      </c>
    </row>
    <row r="333" spans="1:27" x14ac:dyDescent="0.2">
      <c r="A333" t="s">
        <v>3223</v>
      </c>
      <c r="B333" t="s">
        <v>3224</v>
      </c>
      <c r="C333" t="s">
        <v>3225</v>
      </c>
      <c r="D333" t="s">
        <v>31</v>
      </c>
      <c r="F333" t="s">
        <v>32</v>
      </c>
      <c r="G333" s="1">
        <v>31503</v>
      </c>
      <c r="H333" t="s">
        <v>33</v>
      </c>
      <c r="I333" t="s">
        <v>3226</v>
      </c>
      <c r="J333" t="s">
        <v>3227</v>
      </c>
      <c r="K333" t="s">
        <v>3228</v>
      </c>
      <c r="M333" t="s">
        <v>59</v>
      </c>
      <c r="N333" t="s">
        <v>3229</v>
      </c>
      <c r="O333" t="s">
        <v>3230</v>
      </c>
      <c r="P333" t="s">
        <v>3231</v>
      </c>
      <c r="X333">
        <v>4446775</v>
      </c>
      <c r="Y333" t="s">
        <v>3232</v>
      </c>
      <c r="Z333" t="s">
        <v>3233</v>
      </c>
      <c r="AA333" t="s">
        <v>821</v>
      </c>
    </row>
    <row r="334" spans="1:27" x14ac:dyDescent="0.2">
      <c r="A334" t="s">
        <v>3234</v>
      </c>
      <c r="B334" t="s">
        <v>3235</v>
      </c>
      <c r="C334" t="s">
        <v>3236</v>
      </c>
      <c r="D334" t="s">
        <v>135</v>
      </c>
      <c r="F334" t="s">
        <v>32</v>
      </c>
      <c r="G334" s="1">
        <v>39934</v>
      </c>
      <c r="H334" t="s">
        <v>33</v>
      </c>
      <c r="I334" t="s">
        <v>3237</v>
      </c>
      <c r="J334" t="s">
        <v>3238</v>
      </c>
      <c r="K334" t="s">
        <v>3239</v>
      </c>
      <c r="L334" t="s">
        <v>59</v>
      </c>
      <c r="M334" t="s">
        <v>59</v>
      </c>
      <c r="N334" t="s">
        <v>3240</v>
      </c>
      <c r="O334" t="s">
        <v>3241</v>
      </c>
      <c r="P334" t="s">
        <v>3242</v>
      </c>
      <c r="X334">
        <v>4447246</v>
      </c>
      <c r="Y334" t="s">
        <v>961</v>
      </c>
      <c r="Z334" t="s">
        <v>3243</v>
      </c>
      <c r="AA334" t="s">
        <v>932</v>
      </c>
    </row>
    <row r="335" spans="1:27" x14ac:dyDescent="0.2">
      <c r="A335" t="s">
        <v>3244</v>
      </c>
      <c r="B335" t="s">
        <v>3245</v>
      </c>
      <c r="C335" t="s">
        <v>3246</v>
      </c>
      <c r="D335" t="s">
        <v>135</v>
      </c>
      <c r="F335" t="s">
        <v>32</v>
      </c>
      <c r="G335" s="1">
        <v>43642</v>
      </c>
      <c r="H335" t="s">
        <v>67</v>
      </c>
      <c r="I335" t="s">
        <v>3247</v>
      </c>
      <c r="J335" t="s">
        <v>3248</v>
      </c>
      <c r="N335" t="s">
        <v>3249</v>
      </c>
      <c r="O335" t="s">
        <v>3250</v>
      </c>
      <c r="P335">
        <v>7380900332</v>
      </c>
      <c r="X335">
        <v>4447893</v>
      </c>
      <c r="Y335" t="s">
        <v>3251</v>
      </c>
    </row>
    <row r="336" spans="1:27" x14ac:dyDescent="0.2">
      <c r="A336" t="s">
        <v>3252</v>
      </c>
      <c r="B336" t="s">
        <v>3253</v>
      </c>
      <c r="C336" t="s">
        <v>3254</v>
      </c>
      <c r="D336" t="s">
        <v>31</v>
      </c>
      <c r="F336" t="s">
        <v>32</v>
      </c>
      <c r="G336" s="1">
        <v>39811</v>
      </c>
      <c r="H336" t="s">
        <v>67</v>
      </c>
      <c r="I336" t="s">
        <v>3255</v>
      </c>
      <c r="J336" t="s">
        <v>3256</v>
      </c>
      <c r="K336" t="s">
        <v>3257</v>
      </c>
      <c r="M336" t="s">
        <v>59</v>
      </c>
      <c r="N336" t="s">
        <v>3258</v>
      </c>
      <c r="O336" t="s">
        <v>3259</v>
      </c>
      <c r="P336" t="s">
        <v>3260</v>
      </c>
      <c r="X336">
        <v>4448132</v>
      </c>
      <c r="Y336" t="s">
        <v>3261</v>
      </c>
      <c r="Z336" t="s">
        <v>2133</v>
      </c>
      <c r="AA336" t="s">
        <v>2134</v>
      </c>
    </row>
    <row r="337" spans="1:27" x14ac:dyDescent="0.2">
      <c r="A337" t="s">
        <v>3262</v>
      </c>
      <c r="B337" t="s">
        <v>3263</v>
      </c>
      <c r="C337" s="2" t="s">
        <v>3264</v>
      </c>
      <c r="D337" t="s">
        <v>31</v>
      </c>
      <c r="F337" t="s">
        <v>32</v>
      </c>
      <c r="G337" s="1">
        <v>40156</v>
      </c>
      <c r="H337" t="s">
        <v>67</v>
      </c>
      <c r="I337" t="s">
        <v>3265</v>
      </c>
      <c r="J337" t="s">
        <v>3266</v>
      </c>
      <c r="N337" t="s">
        <v>3267</v>
      </c>
      <c r="O337" t="s">
        <v>3268</v>
      </c>
      <c r="P337" t="s">
        <v>3269</v>
      </c>
      <c r="X337">
        <v>4448211</v>
      </c>
      <c r="Y337" t="s">
        <v>3270</v>
      </c>
      <c r="Z337" t="s">
        <v>2133</v>
      </c>
      <c r="AA337" t="s">
        <v>2134</v>
      </c>
    </row>
    <row r="338" spans="1:27" x14ac:dyDescent="0.2">
      <c r="A338" t="s">
        <v>3271</v>
      </c>
      <c r="B338" t="s">
        <v>3272</v>
      </c>
      <c r="C338" t="s">
        <v>3273</v>
      </c>
      <c r="D338" t="s">
        <v>31</v>
      </c>
      <c r="F338" t="s">
        <v>32</v>
      </c>
      <c r="G338" s="1">
        <v>39668</v>
      </c>
      <c r="H338" t="s">
        <v>67</v>
      </c>
      <c r="I338" t="s">
        <v>3274</v>
      </c>
      <c r="J338" t="s">
        <v>3275</v>
      </c>
      <c r="N338" t="s">
        <v>3276</v>
      </c>
      <c r="O338" t="s">
        <v>3277</v>
      </c>
      <c r="P338" t="s">
        <v>3278</v>
      </c>
      <c r="X338">
        <v>4448213</v>
      </c>
      <c r="Y338" t="s">
        <v>3279</v>
      </c>
      <c r="Z338" t="s">
        <v>3280</v>
      </c>
      <c r="AA338" t="s">
        <v>2134</v>
      </c>
    </row>
    <row r="339" spans="1:27" x14ac:dyDescent="0.2">
      <c r="A339" t="s">
        <v>3281</v>
      </c>
      <c r="B339" t="s">
        <v>3282</v>
      </c>
      <c r="C339" t="s">
        <v>3283</v>
      </c>
      <c r="D339" t="s">
        <v>31</v>
      </c>
      <c r="F339" t="s">
        <v>32</v>
      </c>
      <c r="G339" s="1">
        <v>43831</v>
      </c>
      <c r="H339" t="s">
        <v>67</v>
      </c>
      <c r="I339" t="s">
        <v>3284</v>
      </c>
      <c r="J339" t="s">
        <v>3285</v>
      </c>
      <c r="K339" t="s">
        <v>3286</v>
      </c>
      <c r="M339" t="s">
        <v>59</v>
      </c>
      <c r="N339" t="s">
        <v>3287</v>
      </c>
      <c r="O339" t="s">
        <v>3288</v>
      </c>
      <c r="P339" t="s">
        <v>3289</v>
      </c>
      <c r="X339">
        <v>4448371</v>
      </c>
      <c r="Y339" t="s">
        <v>3290</v>
      </c>
      <c r="Z339" t="s">
        <v>1278</v>
      </c>
      <c r="AA339" t="s">
        <v>821</v>
      </c>
    </row>
    <row r="340" spans="1:27" x14ac:dyDescent="0.2">
      <c r="A340" t="s">
        <v>3291</v>
      </c>
      <c r="B340" t="s">
        <v>3292</v>
      </c>
      <c r="C340" t="s">
        <v>3293</v>
      </c>
      <c r="D340" t="s">
        <v>31</v>
      </c>
      <c r="F340" t="s">
        <v>32</v>
      </c>
      <c r="G340" s="1">
        <v>37705</v>
      </c>
      <c r="H340" t="s">
        <v>67</v>
      </c>
      <c r="I340" t="s">
        <v>3294</v>
      </c>
      <c r="J340" t="s">
        <v>3295</v>
      </c>
      <c r="N340" t="s">
        <v>3296</v>
      </c>
      <c r="O340" t="s">
        <v>3297</v>
      </c>
      <c r="P340" t="s">
        <v>3298</v>
      </c>
      <c r="X340">
        <v>4448796</v>
      </c>
      <c r="Y340" t="s">
        <v>3299</v>
      </c>
    </row>
    <row r="341" spans="1:27" x14ac:dyDescent="0.2">
      <c r="A341" t="s">
        <v>3300</v>
      </c>
      <c r="B341" t="s">
        <v>3301</v>
      </c>
      <c r="C341" t="s">
        <v>3302</v>
      </c>
      <c r="D341" t="s">
        <v>31</v>
      </c>
      <c r="F341" t="s">
        <v>32</v>
      </c>
      <c r="G341" s="1">
        <v>37295</v>
      </c>
      <c r="H341" t="s">
        <v>91</v>
      </c>
      <c r="I341" t="s">
        <v>3303</v>
      </c>
      <c r="J341" t="s">
        <v>3304</v>
      </c>
      <c r="K341" t="s">
        <v>3305</v>
      </c>
      <c r="N341" t="s">
        <v>3306</v>
      </c>
      <c r="O341" t="s">
        <v>3307</v>
      </c>
      <c r="P341" t="s">
        <v>3308</v>
      </c>
      <c r="X341">
        <v>4448973</v>
      </c>
      <c r="Y341" t="s">
        <v>3309</v>
      </c>
      <c r="Z341" t="s">
        <v>2372</v>
      </c>
      <c r="AA341" t="s">
        <v>2134</v>
      </c>
    </row>
    <row r="342" spans="1:27" x14ac:dyDescent="0.2">
      <c r="A342" t="s">
        <v>3310</v>
      </c>
      <c r="B342" t="s">
        <v>3311</v>
      </c>
      <c r="C342" t="s">
        <v>3312</v>
      </c>
      <c r="D342" t="s">
        <v>31</v>
      </c>
      <c r="F342" t="s">
        <v>32</v>
      </c>
      <c r="G342" s="1">
        <v>45104</v>
      </c>
      <c r="H342" t="s">
        <v>67</v>
      </c>
      <c r="I342" t="s">
        <v>3313</v>
      </c>
      <c r="J342" t="s">
        <v>3314</v>
      </c>
      <c r="N342" t="s">
        <v>3315</v>
      </c>
      <c r="O342" t="s">
        <v>3316</v>
      </c>
      <c r="X342">
        <v>4449054</v>
      </c>
      <c r="Y342" t="s">
        <v>3317</v>
      </c>
      <c r="Z342" t="s">
        <v>3318</v>
      </c>
      <c r="AA342" t="s">
        <v>2272</v>
      </c>
    </row>
    <row r="343" spans="1:27" x14ac:dyDescent="0.2">
      <c r="A343" t="s">
        <v>3319</v>
      </c>
      <c r="B343" t="s">
        <v>3320</v>
      </c>
      <c r="C343" t="s">
        <v>3321</v>
      </c>
      <c r="D343" t="s">
        <v>135</v>
      </c>
      <c r="F343" t="s">
        <v>32</v>
      </c>
      <c r="G343" s="1">
        <v>39173</v>
      </c>
      <c r="H343" t="s">
        <v>33</v>
      </c>
      <c r="I343" t="s">
        <v>3322</v>
      </c>
      <c r="J343" t="s">
        <v>3323</v>
      </c>
      <c r="L343" t="s">
        <v>59</v>
      </c>
      <c r="N343" t="s">
        <v>3324</v>
      </c>
      <c r="O343" t="s">
        <v>3325</v>
      </c>
      <c r="P343" t="s">
        <v>3326</v>
      </c>
      <c r="X343">
        <v>4449572</v>
      </c>
      <c r="Y343" t="s">
        <v>3327</v>
      </c>
      <c r="Z343" t="s">
        <v>3328</v>
      </c>
      <c r="AA343" t="s">
        <v>1235</v>
      </c>
    </row>
    <row r="344" spans="1:27" x14ac:dyDescent="0.2">
      <c r="A344" t="s">
        <v>3329</v>
      </c>
      <c r="B344" t="s">
        <v>3330</v>
      </c>
      <c r="C344" t="s">
        <v>3331</v>
      </c>
      <c r="D344" t="s">
        <v>31</v>
      </c>
      <c r="F344" t="s">
        <v>32</v>
      </c>
      <c r="G344" s="1">
        <v>46071</v>
      </c>
      <c r="H344" t="s">
        <v>67</v>
      </c>
      <c r="I344" t="s">
        <v>3332</v>
      </c>
      <c r="J344" t="s">
        <v>3333</v>
      </c>
      <c r="N344" t="s">
        <v>3334</v>
      </c>
      <c r="O344" t="s">
        <v>3335</v>
      </c>
      <c r="P344" t="s">
        <v>3336</v>
      </c>
      <c r="X344">
        <v>4449967</v>
      </c>
      <c r="Y344" t="s">
        <v>3337</v>
      </c>
      <c r="Z344" t="s">
        <v>2133</v>
      </c>
      <c r="AA344" t="s">
        <v>2134</v>
      </c>
    </row>
    <row r="345" spans="1:27" x14ac:dyDescent="0.2">
      <c r="A345" t="s">
        <v>3338</v>
      </c>
      <c r="B345" t="s">
        <v>3339</v>
      </c>
      <c r="C345" t="s">
        <v>3340</v>
      </c>
      <c r="D345" t="s">
        <v>31</v>
      </c>
      <c r="F345" t="s">
        <v>32</v>
      </c>
      <c r="G345" s="1">
        <v>39766</v>
      </c>
      <c r="H345" t="s">
        <v>67</v>
      </c>
      <c r="I345" t="s">
        <v>3341</v>
      </c>
      <c r="J345" t="s">
        <v>3342</v>
      </c>
      <c r="N345" t="s">
        <v>3343</v>
      </c>
      <c r="O345" t="s">
        <v>3344</v>
      </c>
      <c r="P345" t="s">
        <v>3345</v>
      </c>
      <c r="X345">
        <v>4450019</v>
      </c>
      <c r="Y345" t="s">
        <v>3346</v>
      </c>
      <c r="Z345" t="s">
        <v>2133</v>
      </c>
      <c r="AA345" t="s">
        <v>2134</v>
      </c>
    </row>
    <row r="346" spans="1:27" x14ac:dyDescent="0.2">
      <c r="A346" t="s">
        <v>3347</v>
      </c>
      <c r="B346" t="s">
        <v>3348</v>
      </c>
      <c r="C346" t="s">
        <v>3349</v>
      </c>
      <c r="D346" t="s">
        <v>31</v>
      </c>
      <c r="F346" t="s">
        <v>32</v>
      </c>
      <c r="G346" s="1">
        <v>38545</v>
      </c>
      <c r="H346" t="s">
        <v>67</v>
      </c>
      <c r="I346" t="s">
        <v>3350</v>
      </c>
      <c r="J346" t="s">
        <v>3351</v>
      </c>
      <c r="K346" t="s">
        <v>3352</v>
      </c>
      <c r="N346" t="s">
        <v>3353</v>
      </c>
      <c r="O346" t="s">
        <v>3354</v>
      </c>
      <c r="P346" t="s">
        <v>3355</v>
      </c>
      <c r="X346">
        <v>4450071</v>
      </c>
      <c r="Y346" t="s">
        <v>3356</v>
      </c>
    </row>
    <row r="347" spans="1:27" x14ac:dyDescent="0.2">
      <c r="A347" t="s">
        <v>3357</v>
      </c>
      <c r="B347" t="s">
        <v>3358</v>
      </c>
      <c r="C347" t="s">
        <v>3359</v>
      </c>
      <c r="D347" t="s">
        <v>31</v>
      </c>
      <c r="F347" t="s">
        <v>32</v>
      </c>
      <c r="G347" s="1">
        <v>30034</v>
      </c>
      <c r="H347" t="s">
        <v>91</v>
      </c>
      <c r="I347" t="s">
        <v>3360</v>
      </c>
      <c r="J347" t="s">
        <v>3361</v>
      </c>
      <c r="M347" t="s">
        <v>59</v>
      </c>
      <c r="N347" t="s">
        <v>3362</v>
      </c>
      <c r="O347" t="s">
        <v>3363</v>
      </c>
      <c r="P347" t="s">
        <v>3364</v>
      </c>
      <c r="X347">
        <v>4450150</v>
      </c>
      <c r="Y347" t="s">
        <v>3365</v>
      </c>
      <c r="Z347" t="s">
        <v>3366</v>
      </c>
      <c r="AA347" t="s">
        <v>888</v>
      </c>
    </row>
    <row r="348" spans="1:27" x14ac:dyDescent="0.2">
      <c r="A348" t="s">
        <v>3367</v>
      </c>
      <c r="B348" t="s">
        <v>3368</v>
      </c>
      <c r="C348" t="s">
        <v>3369</v>
      </c>
      <c r="D348" t="s">
        <v>31</v>
      </c>
      <c r="F348" t="s">
        <v>32</v>
      </c>
      <c r="G348" s="1">
        <v>35627</v>
      </c>
      <c r="H348" t="s">
        <v>67</v>
      </c>
      <c r="I348" t="s">
        <v>3370</v>
      </c>
      <c r="J348" t="s">
        <v>3371</v>
      </c>
      <c r="N348" t="s">
        <v>3372</v>
      </c>
      <c r="O348" t="s">
        <v>3373</v>
      </c>
      <c r="P348" t="s">
        <v>3374</v>
      </c>
      <c r="X348">
        <v>4450602</v>
      </c>
      <c r="Y348" t="s">
        <v>3375</v>
      </c>
      <c r="Z348" t="s">
        <v>2133</v>
      </c>
      <c r="AA348" t="s">
        <v>2134</v>
      </c>
    </row>
    <row r="349" spans="1:27" x14ac:dyDescent="0.2">
      <c r="A349" t="s">
        <v>3376</v>
      </c>
      <c r="B349" t="s">
        <v>3377</v>
      </c>
      <c r="C349" t="s">
        <v>3378</v>
      </c>
      <c r="D349" t="s">
        <v>31</v>
      </c>
      <c r="F349" t="s">
        <v>32</v>
      </c>
      <c r="H349" t="s">
        <v>91</v>
      </c>
      <c r="I349" t="s">
        <v>3379</v>
      </c>
      <c r="J349" t="s">
        <v>3380</v>
      </c>
      <c r="M349" t="s">
        <v>59</v>
      </c>
      <c r="N349" t="s">
        <v>3381</v>
      </c>
      <c r="X349">
        <v>4450722</v>
      </c>
      <c r="Y349" t="s">
        <v>3382</v>
      </c>
      <c r="Z349" t="s">
        <v>3383</v>
      </c>
      <c r="AA349" t="s">
        <v>821</v>
      </c>
    </row>
    <row r="350" spans="1:27" x14ac:dyDescent="0.2">
      <c r="A350" t="s">
        <v>3384</v>
      </c>
      <c r="B350" t="s">
        <v>3385</v>
      </c>
      <c r="C350" s="2" t="s">
        <v>3386</v>
      </c>
      <c r="D350" t="s">
        <v>31</v>
      </c>
      <c r="F350" t="s">
        <v>32</v>
      </c>
      <c r="G350" s="1">
        <v>46031</v>
      </c>
      <c r="H350" t="s">
        <v>67</v>
      </c>
      <c r="I350" t="s">
        <v>3387</v>
      </c>
      <c r="J350" t="s">
        <v>3388</v>
      </c>
      <c r="K350" t="s">
        <v>3389</v>
      </c>
      <c r="N350" t="s">
        <v>3390</v>
      </c>
      <c r="O350" t="s">
        <v>3391</v>
      </c>
      <c r="X350">
        <v>4450759</v>
      </c>
      <c r="Y350" t="s">
        <v>3392</v>
      </c>
      <c r="Z350" t="s">
        <v>3393</v>
      </c>
      <c r="AA350" t="s">
        <v>876</v>
      </c>
    </row>
    <row r="351" spans="1:27" x14ac:dyDescent="0.2">
      <c r="A351" t="s">
        <v>3394</v>
      </c>
      <c r="B351" t="s">
        <v>3395</v>
      </c>
      <c r="C351" t="s">
        <v>3396</v>
      </c>
      <c r="D351" t="s">
        <v>31</v>
      </c>
      <c r="F351" t="s">
        <v>32</v>
      </c>
      <c r="G351" s="1">
        <v>44560</v>
      </c>
      <c r="H351" t="s">
        <v>67</v>
      </c>
      <c r="I351" t="s">
        <v>3397</v>
      </c>
      <c r="J351" t="s">
        <v>3398</v>
      </c>
      <c r="N351" t="s">
        <v>3399</v>
      </c>
      <c r="O351" t="s">
        <v>3400</v>
      </c>
      <c r="P351" t="s">
        <v>3401</v>
      </c>
      <c r="X351">
        <v>4450947</v>
      </c>
      <c r="Y351" t="s">
        <v>3402</v>
      </c>
      <c r="Z351" t="s">
        <v>2133</v>
      </c>
      <c r="AA351" t="s">
        <v>2134</v>
      </c>
    </row>
    <row r="352" spans="1:27" x14ac:dyDescent="0.2">
      <c r="A352" t="s">
        <v>3403</v>
      </c>
      <c r="B352" t="s">
        <v>3404</v>
      </c>
      <c r="C352" t="s">
        <v>3405</v>
      </c>
      <c r="D352" t="s">
        <v>31</v>
      </c>
      <c r="F352" t="s">
        <v>32</v>
      </c>
      <c r="G352" s="1">
        <v>37819</v>
      </c>
      <c r="H352" t="s">
        <v>67</v>
      </c>
      <c r="I352" t="s">
        <v>3406</v>
      </c>
      <c r="J352" t="s">
        <v>3407</v>
      </c>
      <c r="N352" t="s">
        <v>3408</v>
      </c>
      <c r="O352" t="s">
        <v>3409</v>
      </c>
      <c r="P352">
        <v>3725099900</v>
      </c>
      <c r="X352">
        <v>4451002</v>
      </c>
      <c r="Y352" t="s">
        <v>3410</v>
      </c>
    </row>
    <row r="353" spans="1:28" x14ac:dyDescent="0.2">
      <c r="A353" t="s">
        <v>3411</v>
      </c>
      <c r="B353" t="s">
        <v>3412</v>
      </c>
      <c r="C353" t="s">
        <v>3413</v>
      </c>
      <c r="D353" t="s">
        <v>31</v>
      </c>
      <c r="F353" t="s">
        <v>32</v>
      </c>
      <c r="G353" s="1">
        <v>42772</v>
      </c>
      <c r="H353" t="s">
        <v>67</v>
      </c>
      <c r="I353" t="s">
        <v>3414</v>
      </c>
      <c r="J353" t="s">
        <v>3415</v>
      </c>
      <c r="N353" t="s">
        <v>3416</v>
      </c>
      <c r="O353" t="s">
        <v>3417</v>
      </c>
      <c r="X353">
        <v>4451393</v>
      </c>
      <c r="Y353" t="s">
        <v>3418</v>
      </c>
      <c r="Z353" t="s">
        <v>2133</v>
      </c>
      <c r="AA353" t="s">
        <v>2134</v>
      </c>
    </row>
    <row r="354" spans="1:28" x14ac:dyDescent="0.2">
      <c r="A354" t="s">
        <v>3419</v>
      </c>
      <c r="B354" t="s">
        <v>3420</v>
      </c>
      <c r="C354" t="s">
        <v>3421</v>
      </c>
      <c r="D354" t="s">
        <v>31</v>
      </c>
      <c r="F354" t="s">
        <v>32</v>
      </c>
      <c r="G354" s="1">
        <v>40169</v>
      </c>
      <c r="H354" t="s">
        <v>67</v>
      </c>
      <c r="I354" t="s">
        <v>3422</v>
      </c>
      <c r="J354" t="s">
        <v>3423</v>
      </c>
      <c r="N354" t="s">
        <v>3424</v>
      </c>
      <c r="O354" t="s">
        <v>3425</v>
      </c>
      <c r="P354" t="s">
        <v>3426</v>
      </c>
      <c r="X354">
        <v>4451414</v>
      </c>
      <c r="Y354" t="s">
        <v>3427</v>
      </c>
    </row>
    <row r="355" spans="1:28" x14ac:dyDescent="0.2">
      <c r="A355" t="s">
        <v>3428</v>
      </c>
      <c r="B355" t="s">
        <v>3429</v>
      </c>
      <c r="C355" t="s">
        <v>3430</v>
      </c>
      <c r="D355" t="s">
        <v>31</v>
      </c>
      <c r="F355" t="s">
        <v>32</v>
      </c>
      <c r="G355" s="1">
        <v>46037</v>
      </c>
      <c r="H355" t="s">
        <v>67</v>
      </c>
      <c r="I355" t="s">
        <v>3431</v>
      </c>
      <c r="J355" t="s">
        <v>3432</v>
      </c>
      <c r="N355" t="s">
        <v>3433</v>
      </c>
      <c r="O355" t="s">
        <v>3434</v>
      </c>
      <c r="X355">
        <v>4451519</v>
      </c>
      <c r="Y355" t="s">
        <v>3435</v>
      </c>
      <c r="Z355" t="s">
        <v>3436</v>
      </c>
      <c r="AA355" t="s">
        <v>876</v>
      </c>
    </row>
    <row r="356" spans="1:28" x14ac:dyDescent="0.2">
      <c r="A356" t="s">
        <v>3437</v>
      </c>
      <c r="B356" t="s">
        <v>3438</v>
      </c>
      <c r="C356" t="s">
        <v>3439</v>
      </c>
      <c r="D356" t="s">
        <v>31</v>
      </c>
      <c r="F356" t="s">
        <v>32</v>
      </c>
      <c r="H356" t="s">
        <v>67</v>
      </c>
      <c r="I356" t="s">
        <v>3440</v>
      </c>
      <c r="J356" t="s">
        <v>3441</v>
      </c>
      <c r="N356" t="s">
        <v>3442</v>
      </c>
      <c r="X356">
        <v>4451633</v>
      </c>
      <c r="Y356" t="s">
        <v>3443</v>
      </c>
    </row>
    <row r="357" spans="1:28" x14ac:dyDescent="0.2">
      <c r="A357" t="s">
        <v>3444</v>
      </c>
      <c r="B357" t="s">
        <v>3445</v>
      </c>
      <c r="C357" t="s">
        <v>3446</v>
      </c>
      <c r="D357" t="s">
        <v>31</v>
      </c>
      <c r="F357" t="s">
        <v>32</v>
      </c>
      <c r="G357" s="1">
        <v>39302</v>
      </c>
      <c r="H357" t="s">
        <v>67</v>
      </c>
      <c r="I357" t="s">
        <v>3447</v>
      </c>
      <c r="J357" t="s">
        <v>3448</v>
      </c>
      <c r="N357" t="s">
        <v>3449</v>
      </c>
      <c r="O357" t="s">
        <v>3450</v>
      </c>
      <c r="P357" t="s">
        <v>3451</v>
      </c>
      <c r="X357">
        <v>4452586</v>
      </c>
      <c r="Y357" t="s">
        <v>3452</v>
      </c>
      <c r="Z357" t="s">
        <v>2133</v>
      </c>
      <c r="AA357" t="s">
        <v>2134</v>
      </c>
    </row>
    <row r="358" spans="1:28" x14ac:dyDescent="0.2">
      <c r="A358" t="s">
        <v>3453</v>
      </c>
      <c r="B358" t="s">
        <v>3454</v>
      </c>
      <c r="C358" t="s">
        <v>3455</v>
      </c>
      <c r="D358" t="s">
        <v>135</v>
      </c>
      <c r="F358" t="s">
        <v>32</v>
      </c>
      <c r="G358" s="1">
        <v>44197</v>
      </c>
      <c r="H358" t="s">
        <v>33</v>
      </c>
      <c r="I358" t="s">
        <v>3456</v>
      </c>
      <c r="J358" t="s">
        <v>3456</v>
      </c>
      <c r="K358" t="s">
        <v>3457</v>
      </c>
      <c r="L358" t="s">
        <v>59</v>
      </c>
      <c r="M358" t="s">
        <v>59</v>
      </c>
      <c r="N358" t="s">
        <v>3458</v>
      </c>
      <c r="O358" t="s">
        <v>3459</v>
      </c>
      <c r="P358" t="s">
        <v>3460</v>
      </c>
      <c r="X358">
        <v>4452785</v>
      </c>
      <c r="Y358" t="s">
        <v>3461</v>
      </c>
      <c r="Z358" t="s">
        <v>3462</v>
      </c>
      <c r="AA358" t="s">
        <v>3463</v>
      </c>
    </row>
    <row r="359" spans="1:28" x14ac:dyDescent="0.2">
      <c r="A359" t="s">
        <v>3464</v>
      </c>
      <c r="B359" t="s">
        <v>3465</v>
      </c>
      <c r="C359" t="s">
        <v>3466</v>
      </c>
      <c r="D359" t="s">
        <v>31</v>
      </c>
      <c r="F359" t="s">
        <v>32</v>
      </c>
      <c r="G359" s="1">
        <v>45395</v>
      </c>
      <c r="H359" t="s">
        <v>67</v>
      </c>
      <c r="I359" t="s">
        <v>3467</v>
      </c>
      <c r="J359" t="s">
        <v>3468</v>
      </c>
      <c r="K359" t="s">
        <v>3469</v>
      </c>
      <c r="N359" t="s">
        <v>3470</v>
      </c>
      <c r="O359" t="s">
        <v>3471</v>
      </c>
      <c r="X359">
        <v>4453385</v>
      </c>
      <c r="Y359" t="s">
        <v>3472</v>
      </c>
    </row>
    <row r="360" spans="1:28" x14ac:dyDescent="0.2">
      <c r="A360" t="s">
        <v>3473</v>
      </c>
      <c r="B360" t="s">
        <v>3474</v>
      </c>
      <c r="C360" t="s">
        <v>3475</v>
      </c>
      <c r="D360" t="s">
        <v>31</v>
      </c>
      <c r="F360" t="s">
        <v>32</v>
      </c>
      <c r="G360" s="1">
        <v>43895</v>
      </c>
      <c r="H360" t="s">
        <v>33</v>
      </c>
      <c r="I360" t="s">
        <v>3476</v>
      </c>
      <c r="J360" t="s">
        <v>3477</v>
      </c>
      <c r="K360" t="s">
        <v>3478</v>
      </c>
      <c r="L360" t="s">
        <v>59</v>
      </c>
      <c r="N360" t="s">
        <v>3479</v>
      </c>
      <c r="O360" t="s">
        <v>3480</v>
      </c>
      <c r="P360" t="s">
        <v>3481</v>
      </c>
      <c r="Q360" t="s">
        <v>3482</v>
      </c>
      <c r="S360" s="1">
        <v>46139</v>
      </c>
      <c r="X360">
        <v>2102</v>
      </c>
      <c r="Y360" t="s">
        <v>3483</v>
      </c>
      <c r="Z360" t="s">
        <v>3206</v>
      </c>
      <c r="AA360" t="s">
        <v>42</v>
      </c>
      <c r="AB360" t="s">
        <v>1800</v>
      </c>
    </row>
    <row r="361" spans="1:28" x14ac:dyDescent="0.2">
      <c r="A361" t="s">
        <v>3484</v>
      </c>
      <c r="B361" t="s">
        <v>3485</v>
      </c>
      <c r="C361" t="s">
        <v>3486</v>
      </c>
      <c r="D361" t="s">
        <v>31</v>
      </c>
      <c r="F361" t="s">
        <v>32</v>
      </c>
      <c r="G361" s="1">
        <v>43101</v>
      </c>
      <c r="H361" t="s">
        <v>91</v>
      </c>
      <c r="I361" t="s">
        <v>3487</v>
      </c>
      <c r="J361" t="s">
        <v>3488</v>
      </c>
      <c r="K361" t="s">
        <v>3489</v>
      </c>
      <c r="N361" t="s">
        <v>3490</v>
      </c>
      <c r="P361">
        <v>4915143107352</v>
      </c>
      <c r="S361" s="1">
        <v>45804</v>
      </c>
      <c r="X361">
        <v>59996</v>
      </c>
      <c r="Y361" t="s">
        <v>150</v>
      </c>
      <c r="Z361" t="s">
        <v>3206</v>
      </c>
      <c r="AA361" t="s">
        <v>42</v>
      </c>
      <c r="AB361" t="s">
        <v>1688</v>
      </c>
    </row>
    <row r="362" spans="1:28" x14ac:dyDescent="0.2">
      <c r="A362" t="s">
        <v>3491</v>
      </c>
      <c r="B362" t="s">
        <v>3492</v>
      </c>
      <c r="C362" t="s">
        <v>3493</v>
      </c>
      <c r="D362" t="s">
        <v>31</v>
      </c>
      <c r="F362" t="s">
        <v>32</v>
      </c>
      <c r="G362" s="1">
        <v>43466</v>
      </c>
      <c r="H362" t="s">
        <v>33</v>
      </c>
      <c r="I362" t="s">
        <v>3494</v>
      </c>
      <c r="J362" t="s">
        <v>3495</v>
      </c>
      <c r="K362" t="s">
        <v>3496</v>
      </c>
      <c r="L362" t="s">
        <v>59</v>
      </c>
      <c r="N362" t="s">
        <v>3497</v>
      </c>
      <c r="O362" t="s">
        <v>3498</v>
      </c>
      <c r="P362" t="s">
        <v>3499</v>
      </c>
      <c r="Q362" t="s">
        <v>3500</v>
      </c>
      <c r="S362" s="1">
        <v>44036</v>
      </c>
      <c r="X362">
        <v>415028</v>
      </c>
      <c r="Y362" t="s">
        <v>3501</v>
      </c>
      <c r="Z362" t="s">
        <v>3206</v>
      </c>
      <c r="AA362" t="s">
        <v>42</v>
      </c>
      <c r="AB362" t="s">
        <v>3502</v>
      </c>
    </row>
    <row r="363" spans="1:28" x14ac:dyDescent="0.2">
      <c r="A363" t="s">
        <v>3503</v>
      </c>
      <c r="B363" t="s">
        <v>3504</v>
      </c>
      <c r="C363" t="s">
        <v>3505</v>
      </c>
      <c r="D363" t="s">
        <v>31</v>
      </c>
      <c r="F363" t="s">
        <v>32</v>
      </c>
      <c r="G363" s="1">
        <v>43101</v>
      </c>
      <c r="H363" t="s">
        <v>67</v>
      </c>
      <c r="I363" t="s">
        <v>3506</v>
      </c>
      <c r="J363" t="s">
        <v>3507</v>
      </c>
      <c r="K363" t="s">
        <v>3508</v>
      </c>
      <c r="N363" t="s">
        <v>3509</v>
      </c>
      <c r="Q363" t="s">
        <v>3510</v>
      </c>
      <c r="S363" s="1">
        <v>43435</v>
      </c>
      <c r="X363">
        <v>520212</v>
      </c>
      <c r="Y363" t="s">
        <v>3511</v>
      </c>
      <c r="Z363" t="s">
        <v>3206</v>
      </c>
      <c r="AA363" t="s">
        <v>42</v>
      </c>
      <c r="AB363" t="s">
        <v>221</v>
      </c>
    </row>
    <row r="364" spans="1:28" x14ac:dyDescent="0.2">
      <c r="A364" t="s">
        <v>3512</v>
      </c>
      <c r="B364" t="s">
        <v>3513</v>
      </c>
      <c r="C364" t="s">
        <v>3514</v>
      </c>
      <c r="D364" t="s">
        <v>31</v>
      </c>
      <c r="F364" t="s">
        <v>32</v>
      </c>
      <c r="H364" t="s">
        <v>67</v>
      </c>
      <c r="I364" t="s">
        <v>3515</v>
      </c>
      <c r="J364" t="s">
        <v>3516</v>
      </c>
      <c r="K364" t="s">
        <v>3517</v>
      </c>
      <c r="N364" t="s">
        <v>3518</v>
      </c>
      <c r="S364" s="1">
        <v>46136</v>
      </c>
      <c r="X364">
        <v>526352</v>
      </c>
      <c r="Z364" t="s">
        <v>3206</v>
      </c>
      <c r="AA364" t="s">
        <v>42</v>
      </c>
    </row>
    <row r="365" spans="1:28" x14ac:dyDescent="0.2">
      <c r="A365" t="s">
        <v>3519</v>
      </c>
      <c r="B365" t="s">
        <v>3520</v>
      </c>
      <c r="C365" t="s">
        <v>3521</v>
      </c>
      <c r="D365" t="s">
        <v>31</v>
      </c>
      <c r="F365" t="s">
        <v>32</v>
      </c>
      <c r="G365" s="1">
        <v>40544</v>
      </c>
      <c r="H365" t="s">
        <v>67</v>
      </c>
      <c r="I365" t="s">
        <v>3522</v>
      </c>
      <c r="J365" t="s">
        <v>3523</v>
      </c>
      <c r="K365" t="s">
        <v>3524</v>
      </c>
      <c r="N365" t="s">
        <v>3525</v>
      </c>
      <c r="P365" t="s">
        <v>3526</v>
      </c>
      <c r="Q365" t="s">
        <v>3527</v>
      </c>
      <c r="X365">
        <v>543993</v>
      </c>
      <c r="Y365" t="s">
        <v>3528</v>
      </c>
      <c r="Z365" t="s">
        <v>3206</v>
      </c>
      <c r="AA365" t="s">
        <v>42</v>
      </c>
    </row>
    <row r="366" spans="1:28" x14ac:dyDescent="0.2">
      <c r="A366" t="s">
        <v>3529</v>
      </c>
      <c r="B366" t="s">
        <v>3530</v>
      </c>
      <c r="C366" t="s">
        <v>3531</v>
      </c>
      <c r="D366" t="s">
        <v>31</v>
      </c>
      <c r="F366" t="s">
        <v>32</v>
      </c>
      <c r="G366" s="1">
        <v>40179</v>
      </c>
      <c r="H366" t="s">
        <v>33</v>
      </c>
      <c r="I366" t="s">
        <v>3532</v>
      </c>
      <c r="J366" t="s">
        <v>3532</v>
      </c>
      <c r="K366" t="s">
        <v>3533</v>
      </c>
      <c r="M366" t="s">
        <v>59</v>
      </c>
      <c r="N366" t="s">
        <v>3534</v>
      </c>
      <c r="O366" t="s">
        <v>3535</v>
      </c>
      <c r="P366" t="s">
        <v>3536</v>
      </c>
      <c r="X366">
        <v>986301</v>
      </c>
      <c r="Y366" t="s">
        <v>3537</v>
      </c>
      <c r="Z366" t="s">
        <v>3206</v>
      </c>
      <c r="AA366" t="s">
        <v>42</v>
      </c>
      <c r="AB366" t="s">
        <v>192</v>
      </c>
    </row>
    <row r="367" spans="1:28" x14ac:dyDescent="0.2">
      <c r="A367" t="s">
        <v>3538</v>
      </c>
      <c r="B367" t="s">
        <v>3539</v>
      </c>
      <c r="C367" t="s">
        <v>3540</v>
      </c>
      <c r="D367" t="s">
        <v>31</v>
      </c>
      <c r="F367" t="s">
        <v>32</v>
      </c>
      <c r="G367" s="1">
        <v>44197</v>
      </c>
      <c r="H367" t="s">
        <v>33</v>
      </c>
      <c r="I367" t="s">
        <v>3541</v>
      </c>
      <c r="J367" t="s">
        <v>3541</v>
      </c>
      <c r="K367" t="s">
        <v>3542</v>
      </c>
      <c r="N367" t="s">
        <v>3543</v>
      </c>
      <c r="O367" t="s">
        <v>3544</v>
      </c>
      <c r="P367" t="s">
        <v>3545</v>
      </c>
      <c r="X367">
        <v>1096858</v>
      </c>
      <c r="Y367" t="s">
        <v>3546</v>
      </c>
      <c r="Z367" t="s">
        <v>3206</v>
      </c>
      <c r="AA367" t="s">
        <v>42</v>
      </c>
    </row>
    <row r="368" spans="1:28" x14ac:dyDescent="0.2">
      <c r="A368" t="s">
        <v>3547</v>
      </c>
      <c r="B368" t="s">
        <v>3548</v>
      </c>
      <c r="C368" t="s">
        <v>3549</v>
      </c>
      <c r="D368" t="s">
        <v>31</v>
      </c>
      <c r="F368" t="s">
        <v>32</v>
      </c>
      <c r="G368" s="1">
        <v>33604</v>
      </c>
      <c r="H368" t="s">
        <v>33</v>
      </c>
      <c r="I368" t="s">
        <v>3550</v>
      </c>
      <c r="J368" t="s">
        <v>3550</v>
      </c>
      <c r="K368" t="s">
        <v>3551</v>
      </c>
      <c r="M368" t="s">
        <v>59</v>
      </c>
      <c r="N368" t="s">
        <v>3552</v>
      </c>
      <c r="O368" t="s">
        <v>3553</v>
      </c>
      <c r="P368">
        <f>49-693-8-800</f>
        <v>-1452</v>
      </c>
      <c r="X368">
        <v>1141253</v>
      </c>
      <c r="Y368" t="s">
        <v>3554</v>
      </c>
      <c r="Z368" t="s">
        <v>3206</v>
      </c>
      <c r="AA368" t="s">
        <v>42</v>
      </c>
    </row>
    <row r="369" spans="1:28" x14ac:dyDescent="0.2">
      <c r="A369" t="s">
        <v>3555</v>
      </c>
      <c r="B369" t="s">
        <v>3556</v>
      </c>
      <c r="C369" t="s">
        <v>3557</v>
      </c>
      <c r="D369" t="s">
        <v>31</v>
      </c>
      <c r="F369" t="s">
        <v>32</v>
      </c>
      <c r="H369" t="s">
        <v>91</v>
      </c>
      <c r="I369" t="s">
        <v>3558</v>
      </c>
      <c r="J369" t="s">
        <v>3558</v>
      </c>
      <c r="K369" t="s">
        <v>3559</v>
      </c>
      <c r="M369" t="s">
        <v>59</v>
      </c>
      <c r="N369" t="s">
        <v>3560</v>
      </c>
      <c r="O369" t="s">
        <v>3561</v>
      </c>
      <c r="P369" t="s">
        <v>3562</v>
      </c>
      <c r="X369">
        <v>1708007</v>
      </c>
      <c r="Y369" t="s">
        <v>3563</v>
      </c>
      <c r="Z369" t="s">
        <v>3206</v>
      </c>
      <c r="AA369" t="s">
        <v>42</v>
      </c>
      <c r="AB369" t="s">
        <v>1330</v>
      </c>
    </row>
    <row r="370" spans="1:28" x14ac:dyDescent="0.2">
      <c r="A370" t="s">
        <v>3564</v>
      </c>
      <c r="B370" t="s">
        <v>3565</v>
      </c>
      <c r="C370" t="s">
        <v>3566</v>
      </c>
      <c r="D370" t="s">
        <v>31</v>
      </c>
      <c r="F370" t="s">
        <v>32</v>
      </c>
      <c r="G370" s="1">
        <v>43466</v>
      </c>
      <c r="H370" t="s">
        <v>67</v>
      </c>
      <c r="I370" t="s">
        <v>3567</v>
      </c>
      <c r="J370" t="s">
        <v>3567</v>
      </c>
      <c r="K370" t="s">
        <v>3568</v>
      </c>
      <c r="M370" t="s">
        <v>59</v>
      </c>
      <c r="N370" t="s">
        <v>3569</v>
      </c>
      <c r="O370" t="s">
        <v>3570</v>
      </c>
      <c r="P370" t="s">
        <v>3571</v>
      </c>
      <c r="X370">
        <v>1748994</v>
      </c>
      <c r="Y370" t="s">
        <v>3572</v>
      </c>
      <c r="Z370" t="s">
        <v>3206</v>
      </c>
      <c r="AA370" t="s">
        <v>42</v>
      </c>
    </row>
    <row r="371" spans="1:28" x14ac:dyDescent="0.2">
      <c r="A371" t="s">
        <v>3573</v>
      </c>
      <c r="B371" t="s">
        <v>3574</v>
      </c>
      <c r="C371" t="s">
        <v>3575</v>
      </c>
      <c r="D371" t="s">
        <v>31</v>
      </c>
      <c r="F371" t="s">
        <v>32</v>
      </c>
      <c r="G371" s="1">
        <v>44774</v>
      </c>
      <c r="H371" t="s">
        <v>67</v>
      </c>
      <c r="I371" t="s">
        <v>3576</v>
      </c>
      <c r="J371" t="s">
        <v>3577</v>
      </c>
      <c r="K371" t="s">
        <v>3578</v>
      </c>
      <c r="N371" t="s">
        <v>3579</v>
      </c>
      <c r="O371" t="s">
        <v>3580</v>
      </c>
      <c r="X371">
        <v>2703841</v>
      </c>
      <c r="Y371" t="s">
        <v>3581</v>
      </c>
      <c r="Z371" t="s">
        <v>3206</v>
      </c>
      <c r="AA371" t="s">
        <v>42</v>
      </c>
    </row>
    <row r="372" spans="1:28" x14ac:dyDescent="0.2">
      <c r="A372" t="s">
        <v>3582</v>
      </c>
      <c r="B372" t="s">
        <v>3583</v>
      </c>
      <c r="C372" t="s">
        <v>3584</v>
      </c>
      <c r="D372" t="s">
        <v>31</v>
      </c>
      <c r="F372" t="s">
        <v>32</v>
      </c>
      <c r="H372" t="s">
        <v>67</v>
      </c>
      <c r="I372" t="s">
        <v>3585</v>
      </c>
      <c r="J372" t="s">
        <v>3585</v>
      </c>
      <c r="N372" t="s">
        <v>3586</v>
      </c>
      <c r="O372" t="s">
        <v>3587</v>
      </c>
      <c r="P372" t="s">
        <v>3588</v>
      </c>
      <c r="X372">
        <v>3373539</v>
      </c>
      <c r="Y372" t="s">
        <v>3589</v>
      </c>
      <c r="Z372" t="s">
        <v>3206</v>
      </c>
      <c r="AA372" t="s">
        <v>42</v>
      </c>
    </row>
    <row r="373" spans="1:28" x14ac:dyDescent="0.2">
      <c r="A373" t="s">
        <v>3590</v>
      </c>
      <c r="B373" t="s">
        <v>3591</v>
      </c>
      <c r="C373" t="s">
        <v>3592</v>
      </c>
      <c r="D373" t="s">
        <v>31</v>
      </c>
      <c r="F373" t="s">
        <v>32</v>
      </c>
      <c r="H373" t="s">
        <v>91</v>
      </c>
      <c r="I373" t="s">
        <v>3593</v>
      </c>
      <c r="J373" t="s">
        <v>3593</v>
      </c>
      <c r="K373" t="s">
        <v>3594</v>
      </c>
      <c r="M373" t="s">
        <v>59</v>
      </c>
      <c r="N373" t="s">
        <v>3595</v>
      </c>
      <c r="O373" t="s">
        <v>3596</v>
      </c>
      <c r="P373" t="s">
        <v>3597</v>
      </c>
      <c r="X373">
        <v>3559510</v>
      </c>
      <c r="Y373" t="s">
        <v>3598</v>
      </c>
      <c r="Z373" t="s">
        <v>3206</v>
      </c>
      <c r="AA373" t="s">
        <v>42</v>
      </c>
    </row>
    <row r="374" spans="1:28" x14ac:dyDescent="0.2">
      <c r="A374" t="s">
        <v>3599</v>
      </c>
      <c r="B374" t="s">
        <v>3600</v>
      </c>
      <c r="C374" t="s">
        <v>3601</v>
      </c>
      <c r="D374" t="s">
        <v>31</v>
      </c>
      <c r="F374" t="s">
        <v>32</v>
      </c>
      <c r="H374" t="s">
        <v>33</v>
      </c>
      <c r="I374" t="s">
        <v>3602</v>
      </c>
      <c r="J374" t="s">
        <v>3602</v>
      </c>
      <c r="K374" t="s">
        <v>3603</v>
      </c>
      <c r="M374" t="s">
        <v>59</v>
      </c>
      <c r="N374" t="s">
        <v>3604</v>
      </c>
      <c r="O374" t="s">
        <v>3605</v>
      </c>
      <c r="P374" t="s">
        <v>3606</v>
      </c>
      <c r="X374">
        <v>3744188</v>
      </c>
      <c r="Y374" t="s">
        <v>150</v>
      </c>
      <c r="Z374" t="s">
        <v>3206</v>
      </c>
      <c r="AA374" t="s">
        <v>42</v>
      </c>
    </row>
    <row r="375" spans="1:28" x14ac:dyDescent="0.2">
      <c r="A375" t="s">
        <v>3607</v>
      </c>
      <c r="B375" t="s">
        <v>3608</v>
      </c>
      <c r="C375" t="s">
        <v>3609</v>
      </c>
      <c r="D375" t="s">
        <v>31</v>
      </c>
      <c r="F375" t="s">
        <v>32</v>
      </c>
      <c r="G375" s="1">
        <v>44562</v>
      </c>
      <c r="H375" t="s">
        <v>33</v>
      </c>
      <c r="I375" t="s">
        <v>3610</v>
      </c>
      <c r="J375" t="s">
        <v>3611</v>
      </c>
      <c r="K375" t="s">
        <v>3612</v>
      </c>
      <c r="N375" t="s">
        <v>3613</v>
      </c>
      <c r="Q375" t="s">
        <v>3614</v>
      </c>
      <c r="S375" s="1">
        <v>45923</v>
      </c>
      <c r="X375">
        <v>22639</v>
      </c>
      <c r="Y375" t="s">
        <v>3615</v>
      </c>
      <c r="Z375" t="s">
        <v>3616</v>
      </c>
      <c r="AA375" t="s">
        <v>42</v>
      </c>
      <c r="AB375" t="s">
        <v>3617</v>
      </c>
    </row>
    <row r="376" spans="1:28" x14ac:dyDescent="0.2">
      <c r="A376" t="s">
        <v>3618</v>
      </c>
      <c r="B376" t="s">
        <v>3619</v>
      </c>
      <c r="C376" t="s">
        <v>3620</v>
      </c>
      <c r="D376" t="s">
        <v>31</v>
      </c>
      <c r="F376" t="s">
        <v>32</v>
      </c>
      <c r="G376" s="1">
        <v>44197</v>
      </c>
      <c r="H376" t="s">
        <v>33</v>
      </c>
      <c r="I376" t="s">
        <v>3621</v>
      </c>
      <c r="J376" t="s">
        <v>3622</v>
      </c>
      <c r="K376" t="s">
        <v>3623</v>
      </c>
      <c r="N376" t="s">
        <v>3624</v>
      </c>
      <c r="O376" t="s">
        <v>3625</v>
      </c>
      <c r="Q376" t="s">
        <v>3626</v>
      </c>
      <c r="S376" s="1">
        <v>45853</v>
      </c>
      <c r="X376">
        <v>23790</v>
      </c>
      <c r="Y376" t="s">
        <v>3627</v>
      </c>
      <c r="Z376" t="s">
        <v>3616</v>
      </c>
      <c r="AA376" t="s">
        <v>42</v>
      </c>
      <c r="AB376" t="s">
        <v>3628</v>
      </c>
    </row>
    <row r="377" spans="1:28" x14ac:dyDescent="0.2">
      <c r="A377" t="s">
        <v>3629</v>
      </c>
      <c r="B377" t="s">
        <v>3630</v>
      </c>
      <c r="C377" t="s">
        <v>3631</v>
      </c>
      <c r="D377" t="s">
        <v>31</v>
      </c>
      <c r="F377" t="s">
        <v>32</v>
      </c>
      <c r="G377" s="1">
        <v>42005</v>
      </c>
      <c r="H377" t="s">
        <v>33</v>
      </c>
      <c r="I377" t="s">
        <v>3632</v>
      </c>
      <c r="J377" t="s">
        <v>3633</v>
      </c>
      <c r="K377" t="s">
        <v>3634</v>
      </c>
      <c r="M377" t="s">
        <v>59</v>
      </c>
      <c r="N377" t="s">
        <v>3635</v>
      </c>
      <c r="O377" t="s">
        <v>3636</v>
      </c>
      <c r="P377">
        <v>4922182828785</v>
      </c>
      <c r="Q377" t="s">
        <v>3637</v>
      </c>
      <c r="S377" s="1">
        <v>43426</v>
      </c>
      <c r="X377">
        <v>41069</v>
      </c>
      <c r="Y377" t="s">
        <v>3638</v>
      </c>
      <c r="Z377" t="s">
        <v>3616</v>
      </c>
      <c r="AA377" t="s">
        <v>42</v>
      </c>
    </row>
    <row r="378" spans="1:28" x14ac:dyDescent="0.2">
      <c r="A378" t="s">
        <v>3639</v>
      </c>
      <c r="B378" t="s">
        <v>3640</v>
      </c>
      <c r="C378" t="s">
        <v>3641</v>
      </c>
      <c r="D378" t="s">
        <v>31</v>
      </c>
      <c r="F378" t="s">
        <v>32</v>
      </c>
      <c r="G378" s="1">
        <v>44075</v>
      </c>
      <c r="H378" t="s">
        <v>33</v>
      </c>
      <c r="I378" t="s">
        <v>3642</v>
      </c>
      <c r="J378" t="s">
        <v>3643</v>
      </c>
      <c r="K378" t="s">
        <v>3644</v>
      </c>
      <c r="L378" t="s">
        <v>59</v>
      </c>
      <c r="N378" t="s">
        <v>3645</v>
      </c>
      <c r="O378" t="s">
        <v>3646</v>
      </c>
      <c r="Q378" t="s">
        <v>3647</v>
      </c>
      <c r="S378" s="1">
        <v>44762</v>
      </c>
      <c r="X378">
        <v>58636</v>
      </c>
      <c r="Y378" t="s">
        <v>3648</v>
      </c>
      <c r="Z378" t="s">
        <v>3616</v>
      </c>
      <c r="AA378" t="s">
        <v>42</v>
      </c>
      <c r="AB378" t="s">
        <v>3649</v>
      </c>
    </row>
    <row r="379" spans="1:28" x14ac:dyDescent="0.2">
      <c r="A379" t="s">
        <v>3650</v>
      </c>
      <c r="B379" t="s">
        <v>3651</v>
      </c>
      <c r="C379" t="s">
        <v>3652</v>
      </c>
      <c r="D379" t="s">
        <v>31</v>
      </c>
      <c r="F379" t="s">
        <v>32</v>
      </c>
      <c r="G379" s="1">
        <v>31778</v>
      </c>
      <c r="H379" t="s">
        <v>91</v>
      </c>
      <c r="I379" t="s">
        <v>3653</v>
      </c>
      <c r="J379" t="s">
        <v>3653</v>
      </c>
      <c r="K379" t="s">
        <v>3654</v>
      </c>
      <c r="M379" t="s">
        <v>59</v>
      </c>
      <c r="N379" t="s">
        <v>3655</v>
      </c>
      <c r="O379" t="s">
        <v>3656</v>
      </c>
      <c r="P379" t="s">
        <v>3657</v>
      </c>
      <c r="X379">
        <v>86598</v>
      </c>
      <c r="Y379" t="s">
        <v>150</v>
      </c>
      <c r="Z379" t="s">
        <v>3616</v>
      </c>
      <c r="AA379" t="s">
        <v>42</v>
      </c>
      <c r="AB379" t="s">
        <v>3658</v>
      </c>
    </row>
    <row r="380" spans="1:28" x14ac:dyDescent="0.2">
      <c r="A380" t="s">
        <v>3659</v>
      </c>
      <c r="B380" t="s">
        <v>3660</v>
      </c>
      <c r="C380" t="s">
        <v>3661</v>
      </c>
      <c r="D380" t="s">
        <v>31</v>
      </c>
      <c r="F380" t="s">
        <v>32</v>
      </c>
      <c r="G380" s="1">
        <v>42736</v>
      </c>
      <c r="H380" t="s">
        <v>67</v>
      </c>
      <c r="I380" t="s">
        <v>3662</v>
      </c>
      <c r="J380" t="s">
        <v>3663</v>
      </c>
      <c r="K380" t="s">
        <v>3664</v>
      </c>
      <c r="L380" t="s">
        <v>59</v>
      </c>
      <c r="M380" t="s">
        <v>59</v>
      </c>
      <c r="N380" t="s">
        <v>3665</v>
      </c>
      <c r="O380" t="s">
        <v>3666</v>
      </c>
      <c r="P380">
        <v>22198746782</v>
      </c>
      <c r="S380" s="1">
        <v>44403</v>
      </c>
      <c r="X380">
        <v>130558</v>
      </c>
      <c r="Y380" t="s">
        <v>3667</v>
      </c>
      <c r="Z380" t="s">
        <v>3616</v>
      </c>
      <c r="AA380" t="s">
        <v>42</v>
      </c>
    </row>
    <row r="381" spans="1:28" x14ac:dyDescent="0.2">
      <c r="A381" t="s">
        <v>3668</v>
      </c>
      <c r="B381" t="s">
        <v>3669</v>
      </c>
      <c r="C381" t="s">
        <v>3670</v>
      </c>
      <c r="D381" t="s">
        <v>31</v>
      </c>
      <c r="F381" t="s">
        <v>32</v>
      </c>
      <c r="G381" s="1">
        <v>43868</v>
      </c>
      <c r="H381" t="s">
        <v>33</v>
      </c>
      <c r="I381" t="s">
        <v>3671</v>
      </c>
      <c r="J381" t="s">
        <v>3672</v>
      </c>
      <c r="K381" t="s">
        <v>3673</v>
      </c>
      <c r="M381" t="s">
        <v>59</v>
      </c>
      <c r="N381" t="s">
        <v>3674</v>
      </c>
      <c r="O381" t="s">
        <v>3675</v>
      </c>
      <c r="Q381" t="s">
        <v>3676</v>
      </c>
      <c r="S381" s="1">
        <v>45666</v>
      </c>
      <c r="X381">
        <v>312930</v>
      </c>
      <c r="Y381" t="s">
        <v>99</v>
      </c>
      <c r="Z381" t="s">
        <v>3616</v>
      </c>
      <c r="AA381" t="s">
        <v>42</v>
      </c>
      <c r="AB381" t="s">
        <v>2743</v>
      </c>
    </row>
    <row r="382" spans="1:28" x14ac:dyDescent="0.2">
      <c r="A382" t="s">
        <v>3677</v>
      </c>
      <c r="B382" t="s">
        <v>3678</v>
      </c>
      <c r="C382" t="s">
        <v>3679</v>
      </c>
      <c r="D382" t="s">
        <v>31</v>
      </c>
      <c r="F382" t="s">
        <v>32</v>
      </c>
      <c r="G382" s="1">
        <v>41640</v>
      </c>
      <c r="H382" t="s">
        <v>33</v>
      </c>
      <c r="I382" t="s">
        <v>3680</v>
      </c>
      <c r="J382" t="s">
        <v>3681</v>
      </c>
      <c r="K382" t="s">
        <v>3682</v>
      </c>
      <c r="L382" t="s">
        <v>59</v>
      </c>
      <c r="N382" t="s">
        <v>3683</v>
      </c>
      <c r="O382" t="s">
        <v>3684</v>
      </c>
      <c r="P382" t="s">
        <v>3685</v>
      </c>
      <c r="X382">
        <v>723264</v>
      </c>
      <c r="Y382" t="s">
        <v>3686</v>
      </c>
      <c r="Z382" t="s">
        <v>3616</v>
      </c>
      <c r="AA382" t="s">
        <v>42</v>
      </c>
      <c r="AB382" t="s">
        <v>2671</v>
      </c>
    </row>
    <row r="383" spans="1:28" x14ac:dyDescent="0.2">
      <c r="A383" t="s">
        <v>3687</v>
      </c>
      <c r="B383" t="s">
        <v>3688</v>
      </c>
      <c r="C383" t="s">
        <v>3689</v>
      </c>
      <c r="D383" t="s">
        <v>31</v>
      </c>
      <c r="F383" t="s">
        <v>32</v>
      </c>
      <c r="G383" s="1">
        <v>35431</v>
      </c>
      <c r="H383" t="s">
        <v>33</v>
      </c>
      <c r="I383" t="s">
        <v>3690</v>
      </c>
      <c r="J383" t="s">
        <v>3690</v>
      </c>
      <c r="K383" t="s">
        <v>3691</v>
      </c>
      <c r="N383" t="s">
        <v>3692</v>
      </c>
      <c r="O383" t="s">
        <v>3693</v>
      </c>
      <c r="P383">
        <f>49-221-952-6290</f>
        <v>-7414</v>
      </c>
      <c r="X383">
        <v>911019</v>
      </c>
      <c r="Y383" t="s">
        <v>3694</v>
      </c>
      <c r="Z383" t="s">
        <v>3616</v>
      </c>
      <c r="AA383" t="s">
        <v>42</v>
      </c>
      <c r="AB383" t="s">
        <v>3695</v>
      </c>
    </row>
    <row r="384" spans="1:28" x14ac:dyDescent="0.2">
      <c r="A384" t="s">
        <v>3696</v>
      </c>
      <c r="B384" t="s">
        <v>3697</v>
      </c>
      <c r="C384" t="s">
        <v>3698</v>
      </c>
      <c r="D384" t="s">
        <v>31</v>
      </c>
      <c r="F384" t="s">
        <v>32</v>
      </c>
      <c r="H384" t="s">
        <v>33</v>
      </c>
      <c r="I384" t="s">
        <v>3699</v>
      </c>
      <c r="J384" t="s">
        <v>3700</v>
      </c>
      <c r="K384" t="s">
        <v>3701</v>
      </c>
      <c r="N384" t="s">
        <v>3702</v>
      </c>
      <c r="O384" t="s">
        <v>3703</v>
      </c>
      <c r="X384">
        <v>1227691</v>
      </c>
      <c r="Y384" t="s">
        <v>3704</v>
      </c>
      <c r="Z384" t="s">
        <v>3616</v>
      </c>
      <c r="AA384" t="s">
        <v>42</v>
      </c>
      <c r="AB384" t="s">
        <v>2648</v>
      </c>
    </row>
    <row r="385" spans="1:28" x14ac:dyDescent="0.2">
      <c r="A385" t="s">
        <v>3705</v>
      </c>
      <c r="B385" t="s">
        <v>3706</v>
      </c>
      <c r="C385" s="2" t="s">
        <v>3707</v>
      </c>
      <c r="D385" t="s">
        <v>31</v>
      </c>
      <c r="F385" t="s">
        <v>32</v>
      </c>
      <c r="G385" s="1">
        <v>41275</v>
      </c>
      <c r="H385" t="s">
        <v>33</v>
      </c>
      <c r="I385" t="s">
        <v>3708</v>
      </c>
      <c r="J385" t="s">
        <v>3708</v>
      </c>
      <c r="K385" t="s">
        <v>3709</v>
      </c>
      <c r="N385" t="s">
        <v>3710</v>
      </c>
      <c r="O385" t="s">
        <v>3711</v>
      </c>
      <c r="P385">
        <f>49-221-650-605-30</f>
        <v>-1457</v>
      </c>
      <c r="X385">
        <v>1684288</v>
      </c>
      <c r="Y385" t="s">
        <v>150</v>
      </c>
      <c r="Z385" t="s">
        <v>3616</v>
      </c>
      <c r="AA385" t="s">
        <v>42</v>
      </c>
    </row>
    <row r="386" spans="1:28" x14ac:dyDescent="0.2">
      <c r="A386" t="s">
        <v>3712</v>
      </c>
      <c r="B386" t="s">
        <v>3713</v>
      </c>
      <c r="C386" t="s">
        <v>3714</v>
      </c>
      <c r="D386" t="s">
        <v>31</v>
      </c>
      <c r="F386" t="s">
        <v>32</v>
      </c>
      <c r="G386" s="1">
        <v>40179</v>
      </c>
      <c r="H386" t="s">
        <v>33</v>
      </c>
      <c r="I386" t="s">
        <v>3715</v>
      </c>
      <c r="J386" t="s">
        <v>3715</v>
      </c>
      <c r="K386" t="s">
        <v>3716</v>
      </c>
      <c r="N386" t="s">
        <v>3717</v>
      </c>
      <c r="O386" t="s">
        <v>3718</v>
      </c>
      <c r="P386" t="s">
        <v>3719</v>
      </c>
      <c r="X386">
        <v>1822442</v>
      </c>
      <c r="Y386" t="s">
        <v>961</v>
      </c>
      <c r="Z386" t="s">
        <v>3616</v>
      </c>
      <c r="AA386" t="s">
        <v>42</v>
      </c>
      <c r="AB386" t="s">
        <v>192</v>
      </c>
    </row>
    <row r="387" spans="1:28" x14ac:dyDescent="0.2">
      <c r="A387" t="s">
        <v>3720</v>
      </c>
      <c r="B387" t="s">
        <v>3721</v>
      </c>
      <c r="C387" t="s">
        <v>3722</v>
      </c>
      <c r="D387" t="s">
        <v>31</v>
      </c>
      <c r="F387" t="s">
        <v>32</v>
      </c>
      <c r="G387" s="1">
        <v>37622</v>
      </c>
      <c r="H387" t="s">
        <v>33</v>
      </c>
      <c r="I387" t="s">
        <v>3723</v>
      </c>
      <c r="J387" t="s">
        <v>3723</v>
      </c>
      <c r="K387" t="s">
        <v>3724</v>
      </c>
      <c r="N387" t="s">
        <v>3725</v>
      </c>
      <c r="O387" t="s">
        <v>3726</v>
      </c>
      <c r="P387" t="s">
        <v>3727</v>
      </c>
      <c r="X387">
        <v>1966495</v>
      </c>
      <c r="Y387" t="s">
        <v>3728</v>
      </c>
      <c r="Z387" t="s">
        <v>3616</v>
      </c>
      <c r="AA387" t="s">
        <v>42</v>
      </c>
    </row>
    <row r="388" spans="1:28" x14ac:dyDescent="0.2">
      <c r="A388" t="s">
        <v>3729</v>
      </c>
      <c r="B388" t="s">
        <v>3730</v>
      </c>
      <c r="C388" t="s">
        <v>3731</v>
      </c>
      <c r="D388" t="s">
        <v>31</v>
      </c>
      <c r="F388" t="s">
        <v>32</v>
      </c>
      <c r="G388" s="1">
        <v>36526</v>
      </c>
      <c r="H388" t="s">
        <v>67</v>
      </c>
      <c r="I388" t="s">
        <v>3732</v>
      </c>
      <c r="J388" t="s">
        <v>3732</v>
      </c>
      <c r="K388" t="s">
        <v>3733</v>
      </c>
      <c r="L388" t="s">
        <v>59</v>
      </c>
      <c r="N388" t="s">
        <v>3734</v>
      </c>
      <c r="X388">
        <v>1980928</v>
      </c>
      <c r="Y388" t="s">
        <v>3735</v>
      </c>
      <c r="Z388" t="s">
        <v>3616</v>
      </c>
      <c r="AA388" t="s">
        <v>42</v>
      </c>
    </row>
    <row r="389" spans="1:28" x14ac:dyDescent="0.2">
      <c r="A389" t="s">
        <v>3736</v>
      </c>
      <c r="B389" t="s">
        <v>3737</v>
      </c>
      <c r="C389" t="s">
        <v>3738</v>
      </c>
      <c r="D389" t="s">
        <v>31</v>
      </c>
      <c r="F389" t="s">
        <v>32</v>
      </c>
      <c r="G389" s="1">
        <v>34700</v>
      </c>
      <c r="H389" t="s">
        <v>33</v>
      </c>
      <c r="I389" t="s">
        <v>3739</v>
      </c>
      <c r="J389" t="s">
        <v>3739</v>
      </c>
      <c r="K389" t="s">
        <v>3740</v>
      </c>
      <c r="M389" t="s">
        <v>59</v>
      </c>
      <c r="N389" t="s">
        <v>3741</v>
      </c>
      <c r="O389" t="s">
        <v>3742</v>
      </c>
      <c r="P389">
        <f>49-2133-778-84-90</f>
        <v>-3036</v>
      </c>
      <c r="X389">
        <v>2009591</v>
      </c>
      <c r="Y389" t="s">
        <v>3743</v>
      </c>
      <c r="Z389" t="s">
        <v>3616</v>
      </c>
      <c r="AA389" t="s">
        <v>42</v>
      </c>
    </row>
    <row r="390" spans="1:28" x14ac:dyDescent="0.2">
      <c r="A390" t="s">
        <v>3744</v>
      </c>
      <c r="B390" t="s">
        <v>3745</v>
      </c>
      <c r="C390" t="s">
        <v>3746</v>
      </c>
      <c r="D390" t="s">
        <v>31</v>
      </c>
      <c r="F390" t="s">
        <v>32</v>
      </c>
      <c r="G390" s="1">
        <v>39814</v>
      </c>
      <c r="H390" t="s">
        <v>33</v>
      </c>
      <c r="I390" t="s">
        <v>3747</v>
      </c>
      <c r="J390" t="s">
        <v>3747</v>
      </c>
      <c r="K390" t="s">
        <v>3748</v>
      </c>
      <c r="N390" t="s">
        <v>3749</v>
      </c>
      <c r="O390" t="s">
        <v>3750</v>
      </c>
      <c r="P390" t="s">
        <v>3751</v>
      </c>
      <c r="X390">
        <v>2175150</v>
      </c>
      <c r="Y390" t="s">
        <v>3752</v>
      </c>
      <c r="Z390" t="s">
        <v>3616</v>
      </c>
      <c r="AA390" t="s">
        <v>42</v>
      </c>
    </row>
    <row r="391" spans="1:28" x14ac:dyDescent="0.2">
      <c r="A391" t="s">
        <v>3753</v>
      </c>
      <c r="B391" t="s">
        <v>3754</v>
      </c>
      <c r="C391" t="s">
        <v>3755</v>
      </c>
      <c r="D391" t="s">
        <v>31</v>
      </c>
      <c r="F391" t="s">
        <v>32</v>
      </c>
      <c r="G391" s="1">
        <v>40544</v>
      </c>
      <c r="H391" t="s">
        <v>33</v>
      </c>
      <c r="I391" t="s">
        <v>3756</v>
      </c>
      <c r="J391" t="s">
        <v>3757</v>
      </c>
      <c r="K391" t="s">
        <v>3758</v>
      </c>
      <c r="N391" t="s">
        <v>3759</v>
      </c>
      <c r="O391" t="s">
        <v>3760</v>
      </c>
      <c r="P391" t="s">
        <v>3761</v>
      </c>
      <c r="X391">
        <v>2200696</v>
      </c>
      <c r="Y391" t="s">
        <v>3762</v>
      </c>
      <c r="Z391" t="s">
        <v>3616</v>
      </c>
      <c r="AA391" t="s">
        <v>42</v>
      </c>
    </row>
    <row r="392" spans="1:28" x14ac:dyDescent="0.2">
      <c r="A392" t="s">
        <v>3763</v>
      </c>
      <c r="B392" t="s">
        <v>3764</v>
      </c>
      <c r="C392" t="s">
        <v>3765</v>
      </c>
      <c r="D392" t="s">
        <v>31</v>
      </c>
      <c r="F392" t="s">
        <v>32</v>
      </c>
      <c r="G392" s="1">
        <v>42370</v>
      </c>
      <c r="H392" t="s">
        <v>33</v>
      </c>
      <c r="I392" t="s">
        <v>3766</v>
      </c>
      <c r="J392" t="s">
        <v>3766</v>
      </c>
      <c r="K392" t="s">
        <v>3767</v>
      </c>
      <c r="N392" t="s">
        <v>3768</v>
      </c>
      <c r="O392" t="s">
        <v>3769</v>
      </c>
      <c r="P392" t="s">
        <v>3770</v>
      </c>
      <c r="X392">
        <v>2464580</v>
      </c>
      <c r="Y392" t="s">
        <v>3771</v>
      </c>
      <c r="Z392" t="s">
        <v>3616</v>
      </c>
      <c r="AA392" t="s">
        <v>42</v>
      </c>
      <c r="AB392" t="s">
        <v>3772</v>
      </c>
    </row>
    <row r="393" spans="1:28" x14ac:dyDescent="0.2">
      <c r="A393" t="s">
        <v>3773</v>
      </c>
      <c r="B393" t="s">
        <v>3774</v>
      </c>
      <c r="C393" t="s">
        <v>3775</v>
      </c>
      <c r="D393" t="s">
        <v>31</v>
      </c>
      <c r="F393" t="s">
        <v>32</v>
      </c>
      <c r="H393" t="s">
        <v>33</v>
      </c>
      <c r="I393" t="s">
        <v>3776</v>
      </c>
      <c r="J393" t="s">
        <v>3777</v>
      </c>
      <c r="K393" t="s">
        <v>3778</v>
      </c>
      <c r="N393" t="s">
        <v>3779</v>
      </c>
      <c r="O393" t="s">
        <v>3780</v>
      </c>
      <c r="P393" t="s">
        <v>3781</v>
      </c>
      <c r="X393">
        <v>2771782</v>
      </c>
      <c r="Y393" t="s">
        <v>2047</v>
      </c>
      <c r="Z393" t="s">
        <v>3616</v>
      </c>
      <c r="AA393" t="s">
        <v>42</v>
      </c>
    </row>
    <row r="394" spans="1:28" x14ac:dyDescent="0.2">
      <c r="A394" t="s">
        <v>3782</v>
      </c>
      <c r="B394" t="s">
        <v>3783</v>
      </c>
      <c r="C394" t="s">
        <v>3784</v>
      </c>
      <c r="D394" t="s">
        <v>31</v>
      </c>
      <c r="F394" t="s">
        <v>32</v>
      </c>
      <c r="H394" t="s">
        <v>33</v>
      </c>
      <c r="I394" t="s">
        <v>3785</v>
      </c>
      <c r="J394" t="s">
        <v>3785</v>
      </c>
      <c r="N394" t="s">
        <v>3786</v>
      </c>
      <c r="O394" t="s">
        <v>3787</v>
      </c>
      <c r="P394">
        <f>49-221-9464-6838</f>
        <v>-16474</v>
      </c>
      <c r="X394">
        <v>2932505</v>
      </c>
      <c r="Y394" t="s">
        <v>3788</v>
      </c>
      <c r="Z394" t="s">
        <v>3616</v>
      </c>
      <c r="AA394" t="s">
        <v>42</v>
      </c>
    </row>
    <row r="395" spans="1:28" x14ac:dyDescent="0.2">
      <c r="A395" t="s">
        <v>3789</v>
      </c>
      <c r="B395" t="s">
        <v>3790</v>
      </c>
      <c r="C395" t="s">
        <v>3791</v>
      </c>
      <c r="D395" t="s">
        <v>31</v>
      </c>
      <c r="F395" t="s">
        <v>32</v>
      </c>
      <c r="H395" t="s">
        <v>33</v>
      </c>
      <c r="I395" t="s">
        <v>3792</v>
      </c>
      <c r="J395" t="s">
        <v>3792</v>
      </c>
      <c r="K395" t="s">
        <v>3793</v>
      </c>
      <c r="M395" t="s">
        <v>59</v>
      </c>
      <c r="N395" t="s">
        <v>3794</v>
      </c>
      <c r="O395" t="s">
        <v>3795</v>
      </c>
      <c r="P395" t="s">
        <v>3796</v>
      </c>
      <c r="X395">
        <v>3044398</v>
      </c>
      <c r="Y395" t="s">
        <v>3797</v>
      </c>
      <c r="Z395" t="s">
        <v>3616</v>
      </c>
      <c r="AA395" t="s">
        <v>42</v>
      </c>
      <c r="AB395" t="s">
        <v>160</v>
      </c>
    </row>
    <row r="396" spans="1:28" x14ac:dyDescent="0.2">
      <c r="A396" t="s">
        <v>3798</v>
      </c>
      <c r="B396" t="s">
        <v>3799</v>
      </c>
      <c r="C396" t="s">
        <v>3800</v>
      </c>
      <c r="D396" t="s">
        <v>31</v>
      </c>
      <c r="F396" t="s">
        <v>32</v>
      </c>
      <c r="G396" s="1">
        <v>45292</v>
      </c>
      <c r="H396" t="s">
        <v>67</v>
      </c>
      <c r="I396" t="s">
        <v>3801</v>
      </c>
      <c r="J396" t="s">
        <v>3802</v>
      </c>
      <c r="K396" t="s">
        <v>3803</v>
      </c>
      <c r="N396" t="s">
        <v>3804</v>
      </c>
      <c r="O396" t="s">
        <v>3805</v>
      </c>
      <c r="P396" t="s">
        <v>3806</v>
      </c>
      <c r="X396">
        <v>4080649</v>
      </c>
      <c r="Y396" t="s">
        <v>3807</v>
      </c>
      <c r="Z396" t="s">
        <v>3616</v>
      </c>
      <c r="AA396" t="s">
        <v>42</v>
      </c>
    </row>
    <row r="397" spans="1:28" x14ac:dyDescent="0.2">
      <c r="A397" t="s">
        <v>3808</v>
      </c>
      <c r="B397" t="s">
        <v>3809</v>
      </c>
      <c r="C397" t="s">
        <v>3810</v>
      </c>
      <c r="D397" t="s">
        <v>31</v>
      </c>
      <c r="F397" t="s">
        <v>32</v>
      </c>
      <c r="H397" t="s">
        <v>67</v>
      </c>
      <c r="I397" t="s">
        <v>3811</v>
      </c>
      <c r="J397" t="s">
        <v>3812</v>
      </c>
      <c r="K397" t="s">
        <v>3813</v>
      </c>
      <c r="N397" t="s">
        <v>3814</v>
      </c>
      <c r="O397" t="s">
        <v>3815</v>
      </c>
      <c r="P397" t="s">
        <v>3816</v>
      </c>
      <c r="X397">
        <v>4191358</v>
      </c>
      <c r="Y397" t="s">
        <v>3817</v>
      </c>
      <c r="Z397" t="s">
        <v>3616</v>
      </c>
      <c r="AA397" t="s">
        <v>42</v>
      </c>
      <c r="AB397" t="s">
        <v>669</v>
      </c>
    </row>
    <row r="398" spans="1:28" x14ac:dyDescent="0.2">
      <c r="A398" t="s">
        <v>3818</v>
      </c>
      <c r="B398" t="s">
        <v>3819</v>
      </c>
      <c r="C398" t="s">
        <v>3820</v>
      </c>
      <c r="D398" t="s">
        <v>31</v>
      </c>
      <c r="F398" t="s">
        <v>32</v>
      </c>
      <c r="G398" s="1">
        <v>43344</v>
      </c>
      <c r="H398" t="s">
        <v>91</v>
      </c>
      <c r="I398" t="s">
        <v>3821</v>
      </c>
      <c r="J398" t="s">
        <v>3822</v>
      </c>
      <c r="K398" t="s">
        <v>3823</v>
      </c>
      <c r="N398" t="s">
        <v>3824</v>
      </c>
      <c r="O398" t="s">
        <v>3825</v>
      </c>
      <c r="Q398" t="s">
        <v>3826</v>
      </c>
      <c r="S398" s="1">
        <v>45092</v>
      </c>
      <c r="X398">
        <v>19582</v>
      </c>
      <c r="Y398" t="s">
        <v>3827</v>
      </c>
      <c r="Z398" t="s">
        <v>3828</v>
      </c>
      <c r="AA398" t="s">
        <v>42</v>
      </c>
      <c r="AB398" t="s">
        <v>3829</v>
      </c>
    </row>
    <row r="399" spans="1:28" x14ac:dyDescent="0.2">
      <c r="A399" t="s">
        <v>3830</v>
      </c>
      <c r="B399" t="s">
        <v>3831</v>
      </c>
      <c r="C399" t="s">
        <v>3832</v>
      </c>
      <c r="D399" t="s">
        <v>31</v>
      </c>
      <c r="F399" t="s">
        <v>32</v>
      </c>
      <c r="G399" s="1">
        <v>43466</v>
      </c>
      <c r="H399" t="s">
        <v>33</v>
      </c>
      <c r="I399" t="s">
        <v>3833</v>
      </c>
      <c r="J399" t="s">
        <v>3834</v>
      </c>
      <c r="K399" t="s">
        <v>3835</v>
      </c>
      <c r="M399" t="s">
        <v>59</v>
      </c>
      <c r="N399" t="s">
        <v>3836</v>
      </c>
      <c r="O399" t="s">
        <v>3837</v>
      </c>
      <c r="P399" t="s">
        <v>3838</v>
      </c>
      <c r="Q399" t="s">
        <v>3839</v>
      </c>
      <c r="S399" s="1">
        <v>45566</v>
      </c>
      <c r="X399">
        <v>48346</v>
      </c>
      <c r="Y399" t="s">
        <v>3840</v>
      </c>
      <c r="Z399" t="s">
        <v>3828</v>
      </c>
      <c r="AA399" t="s">
        <v>42</v>
      </c>
      <c r="AB399" t="s">
        <v>3841</v>
      </c>
    </row>
    <row r="400" spans="1:28" x14ac:dyDescent="0.2">
      <c r="A400" t="s">
        <v>3842</v>
      </c>
      <c r="B400" t="s">
        <v>3843</v>
      </c>
      <c r="C400" t="s">
        <v>3844</v>
      </c>
      <c r="D400" t="s">
        <v>31</v>
      </c>
      <c r="F400" t="s">
        <v>32</v>
      </c>
      <c r="G400" s="1">
        <v>43374</v>
      </c>
      <c r="H400" t="s">
        <v>33</v>
      </c>
      <c r="I400" t="s">
        <v>3845</v>
      </c>
      <c r="J400" t="s">
        <v>3846</v>
      </c>
      <c r="K400" t="s">
        <v>3847</v>
      </c>
      <c r="L400" t="s">
        <v>59</v>
      </c>
      <c r="M400" t="s">
        <v>59</v>
      </c>
      <c r="N400" t="s">
        <v>3848</v>
      </c>
      <c r="O400" t="s">
        <v>3849</v>
      </c>
      <c r="P400" t="s">
        <v>3850</v>
      </c>
      <c r="Q400" t="s">
        <v>3851</v>
      </c>
      <c r="S400" s="1">
        <v>44835</v>
      </c>
      <c r="X400">
        <v>77343</v>
      </c>
      <c r="Y400" t="s">
        <v>3852</v>
      </c>
      <c r="Z400" t="s">
        <v>3828</v>
      </c>
      <c r="AA400" t="s">
        <v>42</v>
      </c>
      <c r="AB400" t="s">
        <v>2883</v>
      </c>
    </row>
    <row r="401" spans="1:28" x14ac:dyDescent="0.2">
      <c r="A401" t="s">
        <v>3853</v>
      </c>
      <c r="B401" t="s">
        <v>3853</v>
      </c>
      <c r="C401" t="s">
        <v>3854</v>
      </c>
      <c r="D401" t="s">
        <v>31</v>
      </c>
      <c r="F401" t="s">
        <v>32</v>
      </c>
      <c r="G401" s="1">
        <v>42614</v>
      </c>
      <c r="H401" t="s">
        <v>67</v>
      </c>
      <c r="I401" t="s">
        <v>3855</v>
      </c>
      <c r="J401" t="s">
        <v>3856</v>
      </c>
      <c r="K401" t="s">
        <v>3857</v>
      </c>
      <c r="L401" t="s">
        <v>59</v>
      </c>
      <c r="M401" t="s">
        <v>59</v>
      </c>
      <c r="N401" t="s">
        <v>3858</v>
      </c>
      <c r="O401" t="s">
        <v>3859</v>
      </c>
      <c r="P401" t="s">
        <v>3860</v>
      </c>
      <c r="Q401" t="s">
        <v>3861</v>
      </c>
      <c r="S401" s="1">
        <v>44137</v>
      </c>
      <c r="X401">
        <v>159474</v>
      </c>
      <c r="Y401" t="s">
        <v>3862</v>
      </c>
      <c r="Z401" t="s">
        <v>3828</v>
      </c>
      <c r="AA401" t="s">
        <v>42</v>
      </c>
      <c r="AB401" t="s">
        <v>221</v>
      </c>
    </row>
    <row r="402" spans="1:28" x14ac:dyDescent="0.2">
      <c r="A402" t="s">
        <v>3863</v>
      </c>
      <c r="B402" t="s">
        <v>3864</v>
      </c>
      <c r="C402" t="s">
        <v>3865</v>
      </c>
      <c r="D402" t="s">
        <v>31</v>
      </c>
      <c r="F402" t="s">
        <v>32</v>
      </c>
      <c r="G402" s="1">
        <v>35431</v>
      </c>
      <c r="H402" t="s">
        <v>91</v>
      </c>
      <c r="I402" t="s">
        <v>3866</v>
      </c>
      <c r="J402" t="s">
        <v>3867</v>
      </c>
      <c r="K402" t="s">
        <v>3868</v>
      </c>
      <c r="L402" t="s">
        <v>59</v>
      </c>
      <c r="N402" t="s">
        <v>3869</v>
      </c>
      <c r="O402" t="s">
        <v>3870</v>
      </c>
      <c r="P402" t="s">
        <v>3871</v>
      </c>
      <c r="Q402" t="s">
        <v>3872</v>
      </c>
      <c r="X402">
        <v>329541</v>
      </c>
      <c r="Y402" t="s">
        <v>2988</v>
      </c>
      <c r="Z402" t="s">
        <v>3828</v>
      </c>
      <c r="AA402" t="s">
        <v>42</v>
      </c>
      <c r="AB402" t="s">
        <v>3873</v>
      </c>
    </row>
    <row r="403" spans="1:28" x14ac:dyDescent="0.2">
      <c r="A403" t="s">
        <v>3874</v>
      </c>
      <c r="B403" t="s">
        <v>3875</v>
      </c>
      <c r="C403" t="s">
        <v>3876</v>
      </c>
      <c r="D403" t="s">
        <v>31</v>
      </c>
      <c r="F403" t="s">
        <v>32</v>
      </c>
      <c r="G403" s="1">
        <v>43495</v>
      </c>
      <c r="H403" t="s">
        <v>33</v>
      </c>
      <c r="I403" t="s">
        <v>3877</v>
      </c>
      <c r="J403" t="s">
        <v>3878</v>
      </c>
      <c r="K403" t="s">
        <v>3879</v>
      </c>
      <c r="M403" t="s">
        <v>59</v>
      </c>
      <c r="N403" t="s">
        <v>3880</v>
      </c>
      <c r="O403" t="s">
        <v>3881</v>
      </c>
      <c r="Q403" t="s">
        <v>3882</v>
      </c>
      <c r="S403" s="1">
        <v>43800</v>
      </c>
      <c r="X403">
        <v>352270</v>
      </c>
      <c r="Y403" t="s">
        <v>3883</v>
      </c>
      <c r="Z403" t="s">
        <v>3828</v>
      </c>
      <c r="AA403" t="s">
        <v>42</v>
      </c>
      <c r="AB403" t="s">
        <v>2048</v>
      </c>
    </row>
    <row r="404" spans="1:28" x14ac:dyDescent="0.2">
      <c r="A404" t="s">
        <v>3884</v>
      </c>
      <c r="B404" t="s">
        <v>3885</v>
      </c>
      <c r="C404" t="s">
        <v>3886</v>
      </c>
      <c r="D404" t="s">
        <v>31</v>
      </c>
      <c r="F404" t="s">
        <v>32</v>
      </c>
      <c r="G404" s="1">
        <v>43973</v>
      </c>
      <c r="H404" t="s">
        <v>67</v>
      </c>
      <c r="I404" t="s">
        <v>3887</v>
      </c>
      <c r="J404" t="s">
        <v>3888</v>
      </c>
      <c r="K404" t="s">
        <v>3889</v>
      </c>
      <c r="M404" t="s">
        <v>59</v>
      </c>
      <c r="N404" t="s">
        <v>3890</v>
      </c>
      <c r="O404" t="s">
        <v>3891</v>
      </c>
      <c r="P404" t="s">
        <v>3892</v>
      </c>
      <c r="Q404" t="s">
        <v>3893</v>
      </c>
      <c r="X404">
        <v>385363</v>
      </c>
      <c r="Y404" t="s">
        <v>3894</v>
      </c>
      <c r="Z404" t="s">
        <v>3828</v>
      </c>
      <c r="AA404" t="s">
        <v>42</v>
      </c>
      <c r="AB404" t="s">
        <v>221</v>
      </c>
    </row>
    <row r="405" spans="1:28" x14ac:dyDescent="0.2">
      <c r="A405" t="s">
        <v>3895</v>
      </c>
      <c r="B405" t="s">
        <v>3896</v>
      </c>
      <c r="C405" t="s">
        <v>3897</v>
      </c>
      <c r="D405" t="s">
        <v>31</v>
      </c>
      <c r="F405" t="s">
        <v>32</v>
      </c>
      <c r="G405" s="1">
        <v>43158</v>
      </c>
      <c r="H405" t="s">
        <v>67</v>
      </c>
      <c r="I405" t="s">
        <v>3898</v>
      </c>
      <c r="J405" t="s">
        <v>3899</v>
      </c>
      <c r="K405" t="s">
        <v>3900</v>
      </c>
      <c r="L405" t="s">
        <v>59</v>
      </c>
      <c r="M405" t="s">
        <v>59</v>
      </c>
      <c r="N405" t="s">
        <v>3901</v>
      </c>
      <c r="O405" t="s">
        <v>3902</v>
      </c>
      <c r="Q405" t="s">
        <v>3903</v>
      </c>
      <c r="S405" s="1">
        <v>44270</v>
      </c>
      <c r="X405">
        <v>780796</v>
      </c>
      <c r="Y405" t="s">
        <v>3904</v>
      </c>
      <c r="Z405" t="s">
        <v>3828</v>
      </c>
      <c r="AA405" t="s">
        <v>42</v>
      </c>
      <c r="AB405" t="s">
        <v>2743</v>
      </c>
    </row>
    <row r="406" spans="1:28" x14ac:dyDescent="0.2">
      <c r="A406" t="s">
        <v>3905</v>
      </c>
      <c r="B406" t="s">
        <v>3906</v>
      </c>
      <c r="C406" t="s">
        <v>3907</v>
      </c>
      <c r="D406" t="s">
        <v>31</v>
      </c>
      <c r="F406" t="s">
        <v>32</v>
      </c>
      <c r="G406" s="1">
        <v>31413</v>
      </c>
      <c r="H406" t="s">
        <v>91</v>
      </c>
      <c r="I406" t="s">
        <v>3908</v>
      </c>
      <c r="J406" t="s">
        <v>3908</v>
      </c>
      <c r="K406" t="s">
        <v>3909</v>
      </c>
      <c r="L406" t="s">
        <v>59</v>
      </c>
      <c r="N406" t="s">
        <v>3910</v>
      </c>
      <c r="O406" t="s">
        <v>3911</v>
      </c>
      <c r="P406">
        <f>49-71-176-96-760</f>
        <v>-1054</v>
      </c>
      <c r="X406">
        <v>857636</v>
      </c>
      <c r="Y406" t="s">
        <v>3912</v>
      </c>
      <c r="Z406" t="s">
        <v>3828</v>
      </c>
      <c r="AA406" t="s">
        <v>42</v>
      </c>
      <c r="AB406" t="s">
        <v>3913</v>
      </c>
    </row>
    <row r="407" spans="1:28" x14ac:dyDescent="0.2">
      <c r="A407" t="s">
        <v>3914</v>
      </c>
      <c r="B407" t="s">
        <v>3915</v>
      </c>
      <c r="C407" t="s">
        <v>3916</v>
      </c>
      <c r="D407" t="s">
        <v>31</v>
      </c>
      <c r="F407" t="s">
        <v>32</v>
      </c>
      <c r="G407" s="1">
        <v>35431</v>
      </c>
      <c r="H407" t="s">
        <v>33</v>
      </c>
      <c r="I407" t="s">
        <v>3917</v>
      </c>
      <c r="J407" t="s">
        <v>3917</v>
      </c>
      <c r="K407" t="s">
        <v>3918</v>
      </c>
      <c r="N407" t="s">
        <v>3919</v>
      </c>
      <c r="O407" t="s">
        <v>3920</v>
      </c>
      <c r="P407" t="s">
        <v>3921</v>
      </c>
      <c r="Q407" t="s">
        <v>3922</v>
      </c>
      <c r="X407">
        <v>1174276</v>
      </c>
      <c r="Y407" t="s">
        <v>3923</v>
      </c>
      <c r="Z407" t="s">
        <v>3828</v>
      </c>
      <c r="AA407" t="s">
        <v>42</v>
      </c>
      <c r="AB407" t="s">
        <v>1330</v>
      </c>
    </row>
    <row r="408" spans="1:28" x14ac:dyDescent="0.2">
      <c r="A408" t="s">
        <v>3924</v>
      </c>
      <c r="B408" t="s">
        <v>3925</v>
      </c>
      <c r="C408" t="s">
        <v>3926</v>
      </c>
      <c r="D408" t="s">
        <v>31</v>
      </c>
      <c r="F408" t="s">
        <v>32</v>
      </c>
      <c r="G408" s="1">
        <v>41640</v>
      </c>
      <c r="H408" t="s">
        <v>33</v>
      </c>
      <c r="I408" t="s">
        <v>3927</v>
      </c>
      <c r="J408" t="s">
        <v>3927</v>
      </c>
      <c r="K408" t="s">
        <v>3928</v>
      </c>
      <c r="M408" t="s">
        <v>59</v>
      </c>
      <c r="N408" t="s">
        <v>3929</v>
      </c>
      <c r="O408" t="s">
        <v>3930</v>
      </c>
      <c r="P408" t="s">
        <v>3931</v>
      </c>
      <c r="X408">
        <v>1475652</v>
      </c>
      <c r="Y408" t="s">
        <v>3932</v>
      </c>
      <c r="Z408" t="s">
        <v>3828</v>
      </c>
      <c r="AA408" t="s">
        <v>42</v>
      </c>
    </row>
    <row r="409" spans="1:28" x14ac:dyDescent="0.2">
      <c r="A409" t="s">
        <v>3933</v>
      </c>
      <c r="B409" t="s">
        <v>3934</v>
      </c>
      <c r="C409" t="s">
        <v>3935</v>
      </c>
      <c r="D409" t="s">
        <v>31</v>
      </c>
      <c r="F409" t="s">
        <v>32</v>
      </c>
      <c r="G409" s="1">
        <v>39814</v>
      </c>
      <c r="H409" t="s">
        <v>67</v>
      </c>
      <c r="I409" t="s">
        <v>3936</v>
      </c>
      <c r="J409" t="s">
        <v>3936</v>
      </c>
      <c r="K409" t="s">
        <v>3937</v>
      </c>
      <c r="L409" t="s">
        <v>59</v>
      </c>
      <c r="M409" t="s">
        <v>59</v>
      </c>
      <c r="N409" t="s">
        <v>3938</v>
      </c>
      <c r="O409" t="s">
        <v>3939</v>
      </c>
      <c r="P409" t="s">
        <v>3940</v>
      </c>
      <c r="X409">
        <v>1679813</v>
      </c>
      <c r="Y409" t="s">
        <v>3941</v>
      </c>
      <c r="Z409" t="s">
        <v>3828</v>
      </c>
      <c r="AA409" t="s">
        <v>42</v>
      </c>
      <c r="AB409" t="s">
        <v>1990</v>
      </c>
    </row>
    <row r="410" spans="1:28" x14ac:dyDescent="0.2">
      <c r="A410" t="s">
        <v>3942</v>
      </c>
      <c r="B410" t="s">
        <v>3943</v>
      </c>
      <c r="C410" t="s">
        <v>3944</v>
      </c>
      <c r="D410" t="s">
        <v>31</v>
      </c>
      <c r="F410" t="s">
        <v>32</v>
      </c>
      <c r="G410" s="1">
        <v>39083</v>
      </c>
      <c r="H410" t="s">
        <v>33</v>
      </c>
      <c r="I410" t="s">
        <v>3945</v>
      </c>
      <c r="J410" t="s">
        <v>3945</v>
      </c>
      <c r="K410" t="s">
        <v>3946</v>
      </c>
      <c r="M410" t="s">
        <v>59</v>
      </c>
      <c r="N410" t="s">
        <v>3947</v>
      </c>
      <c r="O410" t="s">
        <v>3948</v>
      </c>
      <c r="P410" t="s">
        <v>3949</v>
      </c>
      <c r="X410">
        <v>1858645</v>
      </c>
      <c r="Y410" t="s">
        <v>3912</v>
      </c>
      <c r="Z410" t="s">
        <v>3828</v>
      </c>
      <c r="AA410" t="s">
        <v>42</v>
      </c>
      <c r="AB410" t="s">
        <v>3950</v>
      </c>
    </row>
    <row r="411" spans="1:28" x14ac:dyDescent="0.2">
      <c r="A411" t="s">
        <v>3951</v>
      </c>
      <c r="B411" t="s">
        <v>3952</v>
      </c>
      <c r="C411" t="s">
        <v>3953</v>
      </c>
      <c r="D411" t="s">
        <v>31</v>
      </c>
      <c r="F411" t="s">
        <v>32</v>
      </c>
      <c r="G411" s="1">
        <v>42005</v>
      </c>
      <c r="H411" t="s">
        <v>67</v>
      </c>
      <c r="I411" t="s">
        <v>3954</v>
      </c>
      <c r="J411" t="s">
        <v>3955</v>
      </c>
      <c r="K411" t="s">
        <v>3956</v>
      </c>
      <c r="N411" t="s">
        <v>3957</v>
      </c>
      <c r="O411" t="s">
        <v>3958</v>
      </c>
      <c r="P411" t="s">
        <v>3959</v>
      </c>
      <c r="X411">
        <v>2262137</v>
      </c>
      <c r="Y411" t="s">
        <v>3960</v>
      </c>
      <c r="Z411" t="s">
        <v>3828</v>
      </c>
      <c r="AA411" t="s">
        <v>42</v>
      </c>
    </row>
    <row r="412" spans="1:28" x14ac:dyDescent="0.2">
      <c r="A412" t="s">
        <v>3961</v>
      </c>
      <c r="B412" t="s">
        <v>3962</v>
      </c>
      <c r="C412" t="s">
        <v>3963</v>
      </c>
      <c r="D412" t="s">
        <v>31</v>
      </c>
      <c r="F412" t="s">
        <v>32</v>
      </c>
      <c r="G412" s="1">
        <v>42736</v>
      </c>
      <c r="H412" t="s">
        <v>67</v>
      </c>
      <c r="I412" t="s">
        <v>3964</v>
      </c>
      <c r="J412" t="s">
        <v>3964</v>
      </c>
      <c r="K412" t="s">
        <v>3965</v>
      </c>
      <c r="M412" t="s">
        <v>59</v>
      </c>
      <c r="N412" t="s">
        <v>3966</v>
      </c>
      <c r="O412" t="s">
        <v>3967</v>
      </c>
      <c r="P412" t="s">
        <v>3968</v>
      </c>
      <c r="X412">
        <v>2281036</v>
      </c>
      <c r="Y412" t="s">
        <v>3969</v>
      </c>
      <c r="Z412" t="s">
        <v>3828</v>
      </c>
      <c r="AA412" t="s">
        <v>42</v>
      </c>
      <c r="AB412" t="s">
        <v>221</v>
      </c>
    </row>
    <row r="413" spans="1:28" x14ac:dyDescent="0.2">
      <c r="A413" t="s">
        <v>3970</v>
      </c>
      <c r="B413" t="s">
        <v>3971</v>
      </c>
      <c r="C413" t="s">
        <v>3972</v>
      </c>
      <c r="D413" t="s">
        <v>31</v>
      </c>
      <c r="F413" t="s">
        <v>32</v>
      </c>
      <c r="G413" s="1">
        <v>7306</v>
      </c>
      <c r="H413" t="s">
        <v>33</v>
      </c>
      <c r="I413" t="s">
        <v>3973</v>
      </c>
      <c r="J413" t="s">
        <v>3973</v>
      </c>
      <c r="K413" t="s">
        <v>3974</v>
      </c>
      <c r="M413" t="s">
        <v>59</v>
      </c>
      <c r="N413" t="s">
        <v>3975</v>
      </c>
      <c r="O413" t="s">
        <v>3976</v>
      </c>
      <c r="P413" t="s">
        <v>3977</v>
      </c>
      <c r="X413">
        <v>2770069</v>
      </c>
      <c r="Y413" t="s">
        <v>3978</v>
      </c>
      <c r="Z413" t="s">
        <v>3828</v>
      </c>
      <c r="AA413" t="s">
        <v>42</v>
      </c>
    </row>
    <row r="414" spans="1:28" x14ac:dyDescent="0.2">
      <c r="A414" t="s">
        <v>3979</v>
      </c>
      <c r="B414" t="s">
        <v>3980</v>
      </c>
      <c r="C414" t="s">
        <v>3981</v>
      </c>
      <c r="D414" t="s">
        <v>31</v>
      </c>
      <c r="F414" t="s">
        <v>32</v>
      </c>
      <c r="H414" t="s">
        <v>67</v>
      </c>
      <c r="I414" t="s">
        <v>3982</v>
      </c>
      <c r="J414" t="s">
        <v>3982</v>
      </c>
      <c r="K414" t="s">
        <v>3983</v>
      </c>
      <c r="L414" t="s">
        <v>59</v>
      </c>
      <c r="M414" t="s">
        <v>59</v>
      </c>
      <c r="N414" t="s">
        <v>3984</v>
      </c>
      <c r="O414" t="s">
        <v>3985</v>
      </c>
      <c r="P414" t="s">
        <v>3986</v>
      </c>
      <c r="X414">
        <v>3547123</v>
      </c>
      <c r="Y414" t="s">
        <v>3987</v>
      </c>
      <c r="Z414" t="s">
        <v>3828</v>
      </c>
      <c r="AA414" t="s">
        <v>42</v>
      </c>
      <c r="AB414" t="s">
        <v>211</v>
      </c>
    </row>
    <row r="415" spans="1:28" x14ac:dyDescent="0.2">
      <c r="A415" t="s">
        <v>3988</v>
      </c>
      <c r="B415" t="s">
        <v>3989</v>
      </c>
      <c r="C415" t="s">
        <v>3990</v>
      </c>
      <c r="D415" t="s">
        <v>31</v>
      </c>
      <c r="F415" t="s">
        <v>32</v>
      </c>
      <c r="H415" t="s">
        <v>91</v>
      </c>
      <c r="I415" t="s">
        <v>3991</v>
      </c>
      <c r="J415" t="s">
        <v>3992</v>
      </c>
      <c r="K415" t="s">
        <v>3993</v>
      </c>
      <c r="M415" t="s">
        <v>59</v>
      </c>
      <c r="N415" t="s">
        <v>3994</v>
      </c>
      <c r="X415">
        <v>3837680</v>
      </c>
      <c r="Y415" t="s">
        <v>3995</v>
      </c>
      <c r="Z415" t="s">
        <v>3828</v>
      </c>
      <c r="AA415" t="s">
        <v>42</v>
      </c>
    </row>
    <row r="416" spans="1:28" x14ac:dyDescent="0.2">
      <c r="A416" t="s">
        <v>3996</v>
      </c>
      <c r="B416" t="s">
        <v>3997</v>
      </c>
      <c r="C416" t="s">
        <v>3998</v>
      </c>
      <c r="D416" t="s">
        <v>31</v>
      </c>
      <c r="F416" t="s">
        <v>32</v>
      </c>
      <c r="G416" t="s">
        <v>3999</v>
      </c>
      <c r="H416" t="s">
        <v>91</v>
      </c>
      <c r="I416" t="s">
        <v>4000</v>
      </c>
      <c r="J416" t="s">
        <v>4001</v>
      </c>
      <c r="K416" t="s">
        <v>4002</v>
      </c>
      <c r="N416" t="s">
        <v>4003</v>
      </c>
      <c r="O416" t="s">
        <v>4004</v>
      </c>
      <c r="P416" t="s">
        <v>4005</v>
      </c>
      <c r="X416">
        <v>3879407</v>
      </c>
      <c r="Y416" t="s">
        <v>4006</v>
      </c>
      <c r="Z416" t="s">
        <v>3828</v>
      </c>
      <c r="AA416" t="s">
        <v>42</v>
      </c>
      <c r="AB416" t="s">
        <v>4007</v>
      </c>
    </row>
    <row r="417" spans="1:28" x14ac:dyDescent="0.2">
      <c r="A417" t="s">
        <v>4008</v>
      </c>
      <c r="B417" t="s">
        <v>4009</v>
      </c>
      <c r="C417" t="s">
        <v>4010</v>
      </c>
      <c r="D417" t="s">
        <v>31</v>
      </c>
      <c r="F417" t="s">
        <v>32</v>
      </c>
      <c r="H417" t="s">
        <v>91</v>
      </c>
      <c r="I417" t="s">
        <v>4011</v>
      </c>
      <c r="J417" t="s">
        <v>4012</v>
      </c>
      <c r="N417" t="s">
        <v>4013</v>
      </c>
      <c r="X417">
        <v>4305945</v>
      </c>
      <c r="Y417" t="s">
        <v>4014</v>
      </c>
      <c r="Z417" t="s">
        <v>4015</v>
      </c>
      <c r="AA417" t="s">
        <v>821</v>
      </c>
      <c r="AB417" t="s">
        <v>669</v>
      </c>
    </row>
    <row r="418" spans="1:28" x14ac:dyDescent="0.2">
      <c r="A418" t="s">
        <v>4016</v>
      </c>
      <c r="B418" t="s">
        <v>4017</v>
      </c>
      <c r="C418" t="s">
        <v>4018</v>
      </c>
      <c r="D418" t="s">
        <v>31</v>
      </c>
      <c r="F418" t="s">
        <v>32</v>
      </c>
      <c r="H418" t="s">
        <v>33</v>
      </c>
      <c r="I418" t="s">
        <v>4019</v>
      </c>
      <c r="J418" t="s">
        <v>4020</v>
      </c>
      <c r="K418" t="s">
        <v>4021</v>
      </c>
      <c r="N418" t="s">
        <v>4022</v>
      </c>
      <c r="P418">
        <f>1-208-412-4597</f>
        <v>-5216</v>
      </c>
      <c r="X418">
        <v>4306963</v>
      </c>
      <c r="Y418" t="s">
        <v>4023</v>
      </c>
      <c r="Z418" t="s">
        <v>4024</v>
      </c>
      <c r="AA418" t="s">
        <v>821</v>
      </c>
    </row>
    <row r="419" spans="1:28" x14ac:dyDescent="0.2">
      <c r="A419" t="s">
        <v>4025</v>
      </c>
      <c r="B419" t="s">
        <v>4026</v>
      </c>
      <c r="C419" t="s">
        <v>4027</v>
      </c>
      <c r="D419" t="s">
        <v>31</v>
      </c>
      <c r="F419" t="s">
        <v>32</v>
      </c>
      <c r="H419" t="s">
        <v>67</v>
      </c>
      <c r="I419" t="s">
        <v>4028</v>
      </c>
      <c r="J419" t="s">
        <v>4029</v>
      </c>
      <c r="N419" t="s">
        <v>4030</v>
      </c>
      <c r="P419">
        <f>1-800-368-2171</f>
        <v>-3338</v>
      </c>
      <c r="X419">
        <v>4309665</v>
      </c>
      <c r="Y419" t="s">
        <v>4031</v>
      </c>
      <c r="Z419" t="s">
        <v>4032</v>
      </c>
      <c r="AA419" t="s">
        <v>821</v>
      </c>
    </row>
    <row r="420" spans="1:28" x14ac:dyDescent="0.2">
      <c r="A420" t="s">
        <v>4033</v>
      </c>
      <c r="B420" t="s">
        <v>4034</v>
      </c>
      <c r="C420" t="s">
        <v>4035</v>
      </c>
      <c r="D420" t="s">
        <v>135</v>
      </c>
      <c r="F420" t="s">
        <v>32</v>
      </c>
      <c r="G420" s="1">
        <v>40848</v>
      </c>
      <c r="H420" t="s">
        <v>67</v>
      </c>
      <c r="I420" t="s">
        <v>4036</v>
      </c>
      <c r="J420" t="s">
        <v>4037</v>
      </c>
      <c r="L420" t="s">
        <v>59</v>
      </c>
      <c r="N420" t="s">
        <v>4038</v>
      </c>
      <c r="O420" t="s">
        <v>4039</v>
      </c>
      <c r="P420" t="s">
        <v>4040</v>
      </c>
      <c r="Q420" t="s">
        <v>4041</v>
      </c>
      <c r="X420">
        <v>4318428</v>
      </c>
      <c r="Y420" t="s">
        <v>4042</v>
      </c>
      <c r="Z420" t="s">
        <v>4043</v>
      </c>
      <c r="AA420" t="s">
        <v>821</v>
      </c>
    </row>
    <row r="421" spans="1:28" x14ac:dyDescent="0.2">
      <c r="A421" t="s">
        <v>4044</v>
      </c>
      <c r="B421" t="s">
        <v>4045</v>
      </c>
      <c r="C421" t="s">
        <v>4046</v>
      </c>
      <c r="D421" t="s">
        <v>135</v>
      </c>
      <c r="F421" t="s">
        <v>32</v>
      </c>
      <c r="G421" s="1">
        <v>42196</v>
      </c>
      <c r="H421" t="s">
        <v>67</v>
      </c>
      <c r="I421" t="s">
        <v>4047</v>
      </c>
      <c r="J421" t="s">
        <v>4048</v>
      </c>
      <c r="N421" t="s">
        <v>4049</v>
      </c>
      <c r="Q421" t="s">
        <v>4050</v>
      </c>
      <c r="S421" s="1">
        <v>42288</v>
      </c>
      <c r="X421">
        <v>4325352</v>
      </c>
      <c r="Y421" t="s">
        <v>4051</v>
      </c>
      <c r="Z421" t="s">
        <v>4052</v>
      </c>
      <c r="AA421" t="s">
        <v>821</v>
      </c>
    </row>
    <row r="422" spans="1:28" x14ac:dyDescent="0.2">
      <c r="A422" t="s">
        <v>4053</v>
      </c>
      <c r="B422" t="s">
        <v>4054</v>
      </c>
      <c r="C422" t="s">
        <v>4055</v>
      </c>
      <c r="D422" t="s">
        <v>135</v>
      </c>
      <c r="F422" t="s">
        <v>32</v>
      </c>
      <c r="G422" s="1">
        <v>42370</v>
      </c>
      <c r="H422" t="s">
        <v>33</v>
      </c>
      <c r="I422" t="s">
        <v>4056</v>
      </c>
      <c r="J422" t="s">
        <v>4057</v>
      </c>
      <c r="M422" t="s">
        <v>59</v>
      </c>
      <c r="N422" t="s">
        <v>4058</v>
      </c>
      <c r="O422" t="s">
        <v>4059</v>
      </c>
      <c r="P422" t="s">
        <v>4060</v>
      </c>
      <c r="Q422" t="s">
        <v>4061</v>
      </c>
      <c r="X422">
        <v>4327173</v>
      </c>
      <c r="Y422" t="s">
        <v>4062</v>
      </c>
      <c r="Z422" t="s">
        <v>4063</v>
      </c>
      <c r="AA422" t="s">
        <v>821</v>
      </c>
    </row>
    <row r="423" spans="1:28" x14ac:dyDescent="0.2">
      <c r="A423" t="s">
        <v>4064</v>
      </c>
      <c r="B423" t="s">
        <v>4065</v>
      </c>
      <c r="C423" t="s">
        <v>4066</v>
      </c>
      <c r="D423" t="s">
        <v>31</v>
      </c>
      <c r="F423" t="s">
        <v>32</v>
      </c>
      <c r="G423" s="1">
        <v>42736</v>
      </c>
      <c r="H423" t="s">
        <v>33</v>
      </c>
      <c r="I423" t="s">
        <v>4067</v>
      </c>
      <c r="J423" t="s">
        <v>4068</v>
      </c>
      <c r="K423" t="s">
        <v>4069</v>
      </c>
      <c r="M423" t="s">
        <v>59</v>
      </c>
      <c r="N423" t="s">
        <v>4070</v>
      </c>
      <c r="O423" t="s">
        <v>4071</v>
      </c>
      <c r="P423">
        <v>7654328989</v>
      </c>
      <c r="Q423" t="s">
        <v>4072</v>
      </c>
      <c r="X423">
        <v>4327331</v>
      </c>
      <c r="Y423" t="s">
        <v>4073</v>
      </c>
      <c r="Z423" t="s">
        <v>4074</v>
      </c>
      <c r="AA423" t="s">
        <v>821</v>
      </c>
    </row>
    <row r="424" spans="1:28" x14ac:dyDescent="0.2">
      <c r="A424" t="s">
        <v>4075</v>
      </c>
      <c r="B424" t="s">
        <v>4076</v>
      </c>
      <c r="C424" t="s">
        <v>4077</v>
      </c>
      <c r="D424" t="s">
        <v>135</v>
      </c>
      <c r="F424" t="s">
        <v>32</v>
      </c>
      <c r="G424" s="1">
        <v>43502</v>
      </c>
      <c r="H424" t="s">
        <v>67</v>
      </c>
      <c r="I424" t="s">
        <v>4078</v>
      </c>
      <c r="J424" t="s">
        <v>4078</v>
      </c>
      <c r="K424" t="s">
        <v>4079</v>
      </c>
      <c r="L424" t="s">
        <v>59</v>
      </c>
      <c r="M424" t="s">
        <v>59</v>
      </c>
      <c r="N424" t="s">
        <v>4080</v>
      </c>
      <c r="O424" t="s">
        <v>4081</v>
      </c>
      <c r="P424" t="s">
        <v>4082</v>
      </c>
      <c r="X424">
        <v>4331379</v>
      </c>
      <c r="Y424" t="s">
        <v>4083</v>
      </c>
      <c r="Z424" t="s">
        <v>1321</v>
      </c>
      <c r="AA424" t="s">
        <v>821</v>
      </c>
    </row>
    <row r="425" spans="1:28" x14ac:dyDescent="0.2">
      <c r="A425" t="s">
        <v>4084</v>
      </c>
      <c r="B425" t="s">
        <v>4085</v>
      </c>
      <c r="C425" t="s">
        <v>4086</v>
      </c>
      <c r="D425" t="s">
        <v>31</v>
      </c>
      <c r="F425" t="s">
        <v>32</v>
      </c>
      <c r="H425" t="s">
        <v>33</v>
      </c>
      <c r="I425" t="s">
        <v>4087</v>
      </c>
      <c r="J425" t="s">
        <v>4088</v>
      </c>
      <c r="K425" t="s">
        <v>4089</v>
      </c>
      <c r="N425" t="s">
        <v>4090</v>
      </c>
      <c r="O425" t="s">
        <v>4091</v>
      </c>
      <c r="P425">
        <f>1-732-771-9300</f>
        <v>-10802</v>
      </c>
      <c r="X425">
        <v>4333184</v>
      </c>
      <c r="Y425" t="s">
        <v>4092</v>
      </c>
      <c r="Z425" t="s">
        <v>4093</v>
      </c>
      <c r="AA425" t="s">
        <v>821</v>
      </c>
    </row>
    <row r="426" spans="1:28" x14ac:dyDescent="0.2">
      <c r="A426" t="s">
        <v>4094</v>
      </c>
      <c r="B426" t="s">
        <v>4095</v>
      </c>
      <c r="C426" t="s">
        <v>4096</v>
      </c>
      <c r="D426" t="s">
        <v>135</v>
      </c>
      <c r="F426" t="s">
        <v>32</v>
      </c>
      <c r="G426" s="1">
        <v>42156</v>
      </c>
      <c r="H426" t="s">
        <v>67</v>
      </c>
      <c r="I426" t="s">
        <v>4097</v>
      </c>
      <c r="J426" t="s">
        <v>4098</v>
      </c>
      <c r="N426" t="s">
        <v>4099</v>
      </c>
      <c r="O426" t="s">
        <v>4100</v>
      </c>
      <c r="S426" s="1">
        <v>42217</v>
      </c>
      <c r="X426">
        <v>4333777</v>
      </c>
      <c r="Y426" t="s">
        <v>4101</v>
      </c>
      <c r="Z426" t="s">
        <v>4043</v>
      </c>
      <c r="AA426" t="s">
        <v>821</v>
      </c>
    </row>
    <row r="427" spans="1:28" x14ac:dyDescent="0.2">
      <c r="A427" t="s">
        <v>4102</v>
      </c>
      <c r="B427" t="s">
        <v>4103</v>
      </c>
      <c r="C427" t="s">
        <v>4104</v>
      </c>
      <c r="D427" t="s">
        <v>135</v>
      </c>
      <c r="F427" t="s">
        <v>32</v>
      </c>
      <c r="G427" s="1">
        <v>38353</v>
      </c>
      <c r="H427" t="s">
        <v>67</v>
      </c>
      <c r="I427" t="s">
        <v>4105</v>
      </c>
      <c r="J427" t="s">
        <v>4106</v>
      </c>
      <c r="N427" t="s">
        <v>4107</v>
      </c>
      <c r="O427" t="s">
        <v>4108</v>
      </c>
      <c r="P427" t="s">
        <v>4109</v>
      </c>
      <c r="X427">
        <v>4340951</v>
      </c>
      <c r="Y427" t="s">
        <v>961</v>
      </c>
      <c r="Z427" t="s">
        <v>4110</v>
      </c>
      <c r="AA427" t="s">
        <v>821</v>
      </c>
    </row>
    <row r="428" spans="1:28" x14ac:dyDescent="0.2">
      <c r="A428" t="s">
        <v>4111</v>
      </c>
      <c r="B428" t="s">
        <v>4112</v>
      </c>
      <c r="C428" t="s">
        <v>4113</v>
      </c>
      <c r="D428" t="s">
        <v>135</v>
      </c>
      <c r="F428" t="s">
        <v>32</v>
      </c>
      <c r="H428" t="s">
        <v>67</v>
      </c>
      <c r="I428" t="s">
        <v>4114</v>
      </c>
      <c r="J428" t="s">
        <v>4115</v>
      </c>
      <c r="K428" t="s">
        <v>4116</v>
      </c>
      <c r="L428" t="s">
        <v>59</v>
      </c>
      <c r="M428" t="s">
        <v>59</v>
      </c>
      <c r="N428" t="s">
        <v>4117</v>
      </c>
      <c r="O428" t="s">
        <v>4118</v>
      </c>
      <c r="P428" t="s">
        <v>4119</v>
      </c>
      <c r="X428">
        <v>4341122</v>
      </c>
      <c r="Y428" t="s">
        <v>4120</v>
      </c>
      <c r="Z428" t="s">
        <v>4121</v>
      </c>
      <c r="AA428" t="s">
        <v>821</v>
      </c>
    </row>
    <row r="429" spans="1:28" x14ac:dyDescent="0.2">
      <c r="A429" t="s">
        <v>4122</v>
      </c>
      <c r="B429" t="s">
        <v>4123</v>
      </c>
      <c r="C429" t="s">
        <v>4124</v>
      </c>
      <c r="D429" t="s">
        <v>135</v>
      </c>
      <c r="F429" t="s">
        <v>32</v>
      </c>
      <c r="G429" s="1">
        <v>43573</v>
      </c>
      <c r="H429" t="s">
        <v>67</v>
      </c>
      <c r="I429" t="s">
        <v>4125</v>
      </c>
      <c r="J429" t="s">
        <v>4126</v>
      </c>
      <c r="K429" t="s">
        <v>4127</v>
      </c>
      <c r="L429" t="s">
        <v>59</v>
      </c>
      <c r="M429" t="s">
        <v>59</v>
      </c>
      <c r="N429" t="s">
        <v>4128</v>
      </c>
      <c r="Q429" t="s">
        <v>4129</v>
      </c>
      <c r="X429">
        <v>4350645</v>
      </c>
      <c r="Y429" t="s">
        <v>4130</v>
      </c>
      <c r="Z429" t="s">
        <v>4131</v>
      </c>
      <c r="AA429" t="s">
        <v>821</v>
      </c>
    </row>
    <row r="430" spans="1:28" x14ac:dyDescent="0.2">
      <c r="A430" t="s">
        <v>4132</v>
      </c>
      <c r="B430" t="s">
        <v>4133</v>
      </c>
      <c r="C430" t="s">
        <v>4134</v>
      </c>
      <c r="D430" t="s">
        <v>31</v>
      </c>
      <c r="F430" t="s">
        <v>32</v>
      </c>
      <c r="G430" s="1">
        <v>45078</v>
      </c>
      <c r="H430" t="s">
        <v>67</v>
      </c>
      <c r="I430" t="s">
        <v>4135</v>
      </c>
      <c r="J430" t="s">
        <v>4136</v>
      </c>
      <c r="N430" t="s">
        <v>4137</v>
      </c>
      <c r="O430" t="s">
        <v>4138</v>
      </c>
      <c r="P430" t="s">
        <v>4139</v>
      </c>
      <c r="X430">
        <v>4356615</v>
      </c>
      <c r="Y430" t="s">
        <v>4140</v>
      </c>
      <c r="Z430" t="s">
        <v>4141</v>
      </c>
      <c r="AA430" t="s">
        <v>821</v>
      </c>
    </row>
    <row r="431" spans="1:28" x14ac:dyDescent="0.2">
      <c r="A431" t="s">
        <v>4142</v>
      </c>
      <c r="B431" t="s">
        <v>4143</v>
      </c>
      <c r="C431" t="s">
        <v>4144</v>
      </c>
      <c r="D431" t="s">
        <v>31</v>
      </c>
      <c r="F431" t="s">
        <v>32</v>
      </c>
      <c r="H431" t="s">
        <v>91</v>
      </c>
      <c r="I431" t="s">
        <v>4145</v>
      </c>
      <c r="J431" t="s">
        <v>4146</v>
      </c>
      <c r="K431" t="s">
        <v>4147</v>
      </c>
      <c r="M431" t="s">
        <v>59</v>
      </c>
      <c r="N431" t="s">
        <v>4148</v>
      </c>
      <c r="O431" t="s">
        <v>4149</v>
      </c>
      <c r="X431">
        <v>4359050</v>
      </c>
      <c r="Y431" t="s">
        <v>4150</v>
      </c>
      <c r="Z431" t="s">
        <v>4151</v>
      </c>
      <c r="AA431" t="s">
        <v>821</v>
      </c>
    </row>
    <row r="432" spans="1:28" x14ac:dyDescent="0.2">
      <c r="A432" t="s">
        <v>4152</v>
      </c>
      <c r="B432" t="s">
        <v>4153</v>
      </c>
      <c r="C432" t="s">
        <v>4154</v>
      </c>
      <c r="D432" t="s">
        <v>31</v>
      </c>
      <c r="F432" t="s">
        <v>32</v>
      </c>
      <c r="G432" s="1">
        <v>45184</v>
      </c>
      <c r="H432" t="s">
        <v>67</v>
      </c>
      <c r="I432" t="s">
        <v>4155</v>
      </c>
      <c r="J432" t="s">
        <v>4156</v>
      </c>
      <c r="O432" t="s">
        <v>4157</v>
      </c>
      <c r="X432">
        <v>4373852</v>
      </c>
      <c r="Y432" t="s">
        <v>4158</v>
      </c>
      <c r="Z432" t="s">
        <v>1007</v>
      </c>
      <c r="AA432" t="s">
        <v>821</v>
      </c>
    </row>
    <row r="433" spans="1:28" x14ac:dyDescent="0.2">
      <c r="A433" t="s">
        <v>4159</v>
      </c>
      <c r="B433" t="s">
        <v>4160</v>
      </c>
      <c r="C433" t="s">
        <v>4161</v>
      </c>
      <c r="D433" t="s">
        <v>135</v>
      </c>
      <c r="F433" t="s">
        <v>32</v>
      </c>
      <c r="H433" t="s">
        <v>33</v>
      </c>
      <c r="I433" t="s">
        <v>4162</v>
      </c>
      <c r="J433" t="s">
        <v>4163</v>
      </c>
      <c r="K433" t="s">
        <v>4164</v>
      </c>
      <c r="N433" t="s">
        <v>4165</v>
      </c>
      <c r="X433">
        <v>4374458</v>
      </c>
      <c r="Y433" t="s">
        <v>4166</v>
      </c>
      <c r="Z433" t="s">
        <v>4167</v>
      </c>
      <c r="AA433" t="s">
        <v>821</v>
      </c>
    </row>
    <row r="434" spans="1:28" x14ac:dyDescent="0.2">
      <c r="A434" t="s">
        <v>4168</v>
      </c>
      <c r="B434" t="s">
        <v>4169</v>
      </c>
      <c r="C434" t="s">
        <v>4170</v>
      </c>
      <c r="D434" t="s">
        <v>31</v>
      </c>
      <c r="F434" t="s">
        <v>32</v>
      </c>
      <c r="G434" s="1">
        <v>35016</v>
      </c>
      <c r="H434" t="s">
        <v>67</v>
      </c>
      <c r="I434" t="s">
        <v>4171</v>
      </c>
      <c r="J434" t="s">
        <v>4172</v>
      </c>
      <c r="K434" t="s">
        <v>4173</v>
      </c>
      <c r="N434" t="s">
        <v>4174</v>
      </c>
      <c r="O434" t="s">
        <v>4175</v>
      </c>
      <c r="X434">
        <v>4374521</v>
      </c>
      <c r="Y434" t="s">
        <v>4176</v>
      </c>
      <c r="Z434" t="s">
        <v>4177</v>
      </c>
      <c r="AA434" t="s">
        <v>821</v>
      </c>
      <c r="AB434" t="s">
        <v>1038</v>
      </c>
    </row>
    <row r="435" spans="1:28" x14ac:dyDescent="0.2">
      <c r="A435" t="s">
        <v>4178</v>
      </c>
      <c r="B435" t="s">
        <v>4179</v>
      </c>
      <c r="C435" t="s">
        <v>4180</v>
      </c>
      <c r="D435" t="s">
        <v>135</v>
      </c>
      <c r="F435" t="s">
        <v>32</v>
      </c>
      <c r="G435" s="1">
        <v>43231</v>
      </c>
      <c r="H435" t="s">
        <v>67</v>
      </c>
      <c r="I435" t="s">
        <v>4181</v>
      </c>
      <c r="J435" t="s">
        <v>4181</v>
      </c>
      <c r="N435" t="s">
        <v>4182</v>
      </c>
      <c r="P435">
        <v>7722470201</v>
      </c>
      <c r="Q435" t="s">
        <v>4183</v>
      </c>
      <c r="X435">
        <v>4376513</v>
      </c>
      <c r="Y435" t="s">
        <v>2121</v>
      </c>
      <c r="Z435" t="s">
        <v>4184</v>
      </c>
      <c r="AA435" t="s">
        <v>821</v>
      </c>
    </row>
    <row r="436" spans="1:28" x14ac:dyDescent="0.2">
      <c r="A436" t="s">
        <v>4185</v>
      </c>
      <c r="B436" t="s">
        <v>4186</v>
      </c>
      <c r="C436" t="s">
        <v>4187</v>
      </c>
      <c r="D436" t="s">
        <v>135</v>
      </c>
      <c r="F436" t="s">
        <v>32</v>
      </c>
      <c r="G436" s="1">
        <v>36892</v>
      </c>
      <c r="H436" t="s">
        <v>33</v>
      </c>
      <c r="I436" t="s">
        <v>4188</v>
      </c>
      <c r="J436" t="s">
        <v>4189</v>
      </c>
      <c r="N436" t="s">
        <v>4190</v>
      </c>
      <c r="P436" t="s">
        <v>4191</v>
      </c>
      <c r="X436">
        <v>4378325</v>
      </c>
      <c r="Y436" t="s">
        <v>4192</v>
      </c>
      <c r="Z436" t="s">
        <v>4193</v>
      </c>
      <c r="AA436" t="s">
        <v>821</v>
      </c>
    </row>
    <row r="437" spans="1:28" x14ac:dyDescent="0.2">
      <c r="A437" t="s">
        <v>4194</v>
      </c>
      <c r="B437" t="s">
        <v>4195</v>
      </c>
      <c r="C437" t="s">
        <v>4196</v>
      </c>
      <c r="D437" t="s">
        <v>31</v>
      </c>
      <c r="F437" t="s">
        <v>32</v>
      </c>
      <c r="H437" t="s">
        <v>33</v>
      </c>
      <c r="I437" t="s">
        <v>4197</v>
      </c>
      <c r="J437" t="s">
        <v>4198</v>
      </c>
      <c r="K437" t="s">
        <v>4199</v>
      </c>
      <c r="N437" t="s">
        <v>4200</v>
      </c>
      <c r="O437" t="s">
        <v>4201</v>
      </c>
      <c r="P437">
        <f>1-615-793-7830</f>
        <v>-9237</v>
      </c>
      <c r="X437">
        <v>4380089</v>
      </c>
      <c r="Y437" t="s">
        <v>4202</v>
      </c>
      <c r="Z437" t="s">
        <v>4203</v>
      </c>
      <c r="AA437" t="s">
        <v>821</v>
      </c>
      <c r="AB437" t="s">
        <v>864</v>
      </c>
    </row>
    <row r="438" spans="1:28" x14ac:dyDescent="0.2">
      <c r="A438" t="s">
        <v>4204</v>
      </c>
      <c r="B438" t="s">
        <v>4205</v>
      </c>
      <c r="C438" t="s">
        <v>4206</v>
      </c>
      <c r="D438" t="s">
        <v>31</v>
      </c>
      <c r="F438" t="s">
        <v>32</v>
      </c>
      <c r="H438" t="s">
        <v>67</v>
      </c>
      <c r="I438" t="s">
        <v>4207</v>
      </c>
      <c r="J438" t="s">
        <v>4208</v>
      </c>
      <c r="K438" t="s">
        <v>4209</v>
      </c>
      <c r="N438" t="s">
        <v>4210</v>
      </c>
      <c r="O438" t="s">
        <v>4211</v>
      </c>
      <c r="P438" t="s">
        <v>4212</v>
      </c>
      <c r="X438">
        <v>4381471</v>
      </c>
      <c r="Y438" t="s">
        <v>4213</v>
      </c>
      <c r="Z438" t="s">
        <v>4214</v>
      </c>
      <c r="AA438" t="s">
        <v>821</v>
      </c>
      <c r="AB438" t="s">
        <v>192</v>
      </c>
    </row>
    <row r="439" spans="1:28" x14ac:dyDescent="0.2">
      <c r="A439" t="s">
        <v>4215</v>
      </c>
      <c r="B439" t="s">
        <v>4216</v>
      </c>
      <c r="C439" t="s">
        <v>4217</v>
      </c>
      <c r="D439" t="s">
        <v>135</v>
      </c>
      <c r="F439" t="s">
        <v>32</v>
      </c>
      <c r="G439" s="1">
        <v>41204</v>
      </c>
      <c r="H439" t="s">
        <v>67</v>
      </c>
      <c r="I439" t="s">
        <v>4218</v>
      </c>
      <c r="J439" t="s">
        <v>4219</v>
      </c>
      <c r="K439" t="s">
        <v>4220</v>
      </c>
      <c r="N439" t="s">
        <v>4221</v>
      </c>
      <c r="P439" t="s">
        <v>4222</v>
      </c>
      <c r="S439" s="1">
        <v>41970</v>
      </c>
      <c r="X439">
        <v>4382115</v>
      </c>
      <c r="Y439" t="s">
        <v>4223</v>
      </c>
      <c r="Z439" t="s">
        <v>4224</v>
      </c>
      <c r="AA439" t="s">
        <v>821</v>
      </c>
    </row>
    <row r="440" spans="1:28" x14ac:dyDescent="0.2">
      <c r="A440" t="s">
        <v>4225</v>
      </c>
      <c r="B440" t="s">
        <v>4226</v>
      </c>
      <c r="C440" t="s">
        <v>4227</v>
      </c>
      <c r="D440" t="s">
        <v>135</v>
      </c>
      <c r="F440" t="s">
        <v>32</v>
      </c>
      <c r="G440" s="1">
        <v>39814</v>
      </c>
      <c r="H440" t="s">
        <v>67</v>
      </c>
      <c r="I440" t="s">
        <v>4228</v>
      </c>
      <c r="J440" t="s">
        <v>4229</v>
      </c>
      <c r="K440" t="s">
        <v>4230</v>
      </c>
      <c r="N440" t="s">
        <v>4231</v>
      </c>
      <c r="Q440" t="s">
        <v>4232</v>
      </c>
      <c r="X440">
        <v>4391636</v>
      </c>
      <c r="Y440" t="s">
        <v>99</v>
      </c>
      <c r="Z440" t="s">
        <v>4233</v>
      </c>
      <c r="AA440" t="s">
        <v>821</v>
      </c>
    </row>
    <row r="441" spans="1:28" x14ac:dyDescent="0.2">
      <c r="A441" t="s">
        <v>4234</v>
      </c>
      <c r="B441" t="s">
        <v>4235</v>
      </c>
      <c r="C441" t="s">
        <v>4236</v>
      </c>
      <c r="D441" t="s">
        <v>135</v>
      </c>
      <c r="F441" t="s">
        <v>32</v>
      </c>
      <c r="G441" s="1">
        <v>39639</v>
      </c>
      <c r="H441" t="s">
        <v>67</v>
      </c>
      <c r="I441" t="s">
        <v>4237</v>
      </c>
      <c r="J441" t="s">
        <v>4237</v>
      </c>
      <c r="K441" t="s">
        <v>4238</v>
      </c>
      <c r="L441" t="s">
        <v>59</v>
      </c>
      <c r="N441" t="s">
        <v>4239</v>
      </c>
      <c r="P441" t="s">
        <v>4240</v>
      </c>
      <c r="X441">
        <v>4391639</v>
      </c>
      <c r="Y441" t="s">
        <v>4241</v>
      </c>
      <c r="Z441" t="s">
        <v>4242</v>
      </c>
      <c r="AA441" t="s">
        <v>821</v>
      </c>
    </row>
    <row r="442" spans="1:28" x14ac:dyDescent="0.2">
      <c r="A442" t="s">
        <v>4243</v>
      </c>
      <c r="B442" t="s">
        <v>4244</v>
      </c>
      <c r="C442" t="s">
        <v>4245</v>
      </c>
      <c r="D442" t="s">
        <v>135</v>
      </c>
      <c r="F442" t="s">
        <v>32</v>
      </c>
      <c r="G442" s="1">
        <v>40912</v>
      </c>
      <c r="H442" t="s">
        <v>91</v>
      </c>
      <c r="I442" t="s">
        <v>4246</v>
      </c>
      <c r="J442" t="s">
        <v>4247</v>
      </c>
      <c r="K442" t="s">
        <v>4248</v>
      </c>
      <c r="L442" t="s">
        <v>59</v>
      </c>
      <c r="M442" t="s">
        <v>59</v>
      </c>
      <c r="N442" t="s">
        <v>4249</v>
      </c>
      <c r="O442" t="s">
        <v>4250</v>
      </c>
      <c r="P442" t="s">
        <v>4251</v>
      </c>
      <c r="X442">
        <v>4392475</v>
      </c>
      <c r="Y442" t="s">
        <v>4252</v>
      </c>
      <c r="Z442" t="s">
        <v>4253</v>
      </c>
      <c r="AA442" t="s">
        <v>821</v>
      </c>
    </row>
    <row r="443" spans="1:28" x14ac:dyDescent="0.2">
      <c r="A443" t="s">
        <v>4254</v>
      </c>
      <c r="B443" t="s">
        <v>4255</v>
      </c>
      <c r="C443" t="s">
        <v>4256</v>
      </c>
      <c r="D443" t="s">
        <v>31</v>
      </c>
      <c r="F443" t="s">
        <v>32</v>
      </c>
      <c r="H443" t="s">
        <v>91</v>
      </c>
      <c r="I443" t="s">
        <v>4257</v>
      </c>
      <c r="J443" t="s">
        <v>4258</v>
      </c>
      <c r="N443" t="s">
        <v>4259</v>
      </c>
      <c r="O443" t="s">
        <v>4260</v>
      </c>
      <c r="P443">
        <f>1-203-751-1731</f>
        <v>-2684</v>
      </c>
      <c r="X443">
        <v>4394620</v>
      </c>
      <c r="Y443" t="s">
        <v>4261</v>
      </c>
      <c r="Z443" t="s">
        <v>4262</v>
      </c>
      <c r="AA443" t="s">
        <v>821</v>
      </c>
      <c r="AB443" t="s">
        <v>669</v>
      </c>
    </row>
    <row r="444" spans="1:28" x14ac:dyDescent="0.2">
      <c r="A444" t="s">
        <v>4263</v>
      </c>
      <c r="B444" t="s">
        <v>4264</v>
      </c>
      <c r="C444" t="s">
        <v>4265</v>
      </c>
      <c r="D444" t="s">
        <v>135</v>
      </c>
      <c r="F444" t="s">
        <v>32</v>
      </c>
      <c r="G444" s="1">
        <v>42736</v>
      </c>
      <c r="H444" t="s">
        <v>33</v>
      </c>
      <c r="I444" t="s">
        <v>4266</v>
      </c>
      <c r="J444" t="s">
        <v>4267</v>
      </c>
      <c r="K444" t="s">
        <v>4268</v>
      </c>
      <c r="M444" t="s">
        <v>59</v>
      </c>
      <c r="N444" t="s">
        <v>4269</v>
      </c>
      <c r="O444" t="s">
        <v>4270</v>
      </c>
      <c r="P444" t="s">
        <v>4271</v>
      </c>
      <c r="X444">
        <v>4396179</v>
      </c>
      <c r="Y444" t="s">
        <v>4272</v>
      </c>
      <c r="Z444" t="s">
        <v>4273</v>
      </c>
      <c r="AA444" t="s">
        <v>821</v>
      </c>
      <c r="AB444" t="s">
        <v>221</v>
      </c>
    </row>
    <row r="445" spans="1:28" x14ac:dyDescent="0.2">
      <c r="A445" t="s">
        <v>4274</v>
      </c>
      <c r="B445" t="s">
        <v>4275</v>
      </c>
      <c r="C445" t="s">
        <v>4276</v>
      </c>
      <c r="D445" t="s">
        <v>135</v>
      </c>
      <c r="F445" t="s">
        <v>32</v>
      </c>
      <c r="G445" s="1">
        <v>42142</v>
      </c>
      <c r="H445" t="s">
        <v>67</v>
      </c>
      <c r="I445" t="s">
        <v>4277</v>
      </c>
      <c r="J445" t="s">
        <v>4278</v>
      </c>
      <c r="N445" t="s">
        <v>4279</v>
      </c>
      <c r="O445" t="s">
        <v>4280</v>
      </c>
      <c r="P445" t="s">
        <v>4281</v>
      </c>
      <c r="Q445" t="s">
        <v>4282</v>
      </c>
      <c r="X445">
        <v>4398534</v>
      </c>
      <c r="Y445" t="s">
        <v>4283</v>
      </c>
      <c r="Z445" t="s">
        <v>2294</v>
      </c>
      <c r="AA445" t="s">
        <v>821</v>
      </c>
    </row>
    <row r="446" spans="1:28" x14ac:dyDescent="0.2">
      <c r="A446" t="s">
        <v>4284</v>
      </c>
      <c r="B446" t="s">
        <v>4285</v>
      </c>
      <c r="C446" t="s">
        <v>4286</v>
      </c>
      <c r="D446" t="s">
        <v>135</v>
      </c>
      <c r="F446" t="s">
        <v>32</v>
      </c>
      <c r="G446" s="1">
        <v>41059</v>
      </c>
      <c r="H446" t="s">
        <v>67</v>
      </c>
      <c r="I446" t="s">
        <v>4287</v>
      </c>
      <c r="J446" t="s">
        <v>4288</v>
      </c>
      <c r="N446" t="s">
        <v>4289</v>
      </c>
      <c r="P446">
        <v>8329788517</v>
      </c>
      <c r="S446" s="1">
        <v>41178</v>
      </c>
      <c r="X446">
        <v>4402462</v>
      </c>
      <c r="Y446" t="s">
        <v>4290</v>
      </c>
      <c r="Z446" t="s">
        <v>1007</v>
      </c>
      <c r="AA446" t="s">
        <v>821</v>
      </c>
    </row>
    <row r="447" spans="1:28" x14ac:dyDescent="0.2">
      <c r="A447" t="s">
        <v>4291</v>
      </c>
      <c r="B447" t="s">
        <v>4292</v>
      </c>
      <c r="C447" t="s">
        <v>4293</v>
      </c>
      <c r="D447" t="s">
        <v>31</v>
      </c>
      <c r="F447" t="s">
        <v>32</v>
      </c>
      <c r="G447" s="1">
        <v>45901</v>
      </c>
      <c r="H447" t="s">
        <v>67</v>
      </c>
      <c r="I447" t="s">
        <v>4294</v>
      </c>
      <c r="J447" t="s">
        <v>4295</v>
      </c>
      <c r="K447" t="s">
        <v>4296</v>
      </c>
      <c r="L447" t="s">
        <v>59</v>
      </c>
      <c r="M447" t="s">
        <v>59</v>
      </c>
      <c r="O447" t="s">
        <v>4297</v>
      </c>
      <c r="P447" t="s">
        <v>4298</v>
      </c>
      <c r="X447">
        <v>4430563</v>
      </c>
      <c r="Y447" t="s">
        <v>4299</v>
      </c>
      <c r="Z447" t="s">
        <v>1321</v>
      </c>
      <c r="AA447" t="s">
        <v>821</v>
      </c>
    </row>
    <row r="448" spans="1:28" x14ac:dyDescent="0.2">
      <c r="A448" t="s">
        <v>4300</v>
      </c>
      <c r="B448" t="s">
        <v>4301</v>
      </c>
      <c r="C448" t="s">
        <v>4302</v>
      </c>
      <c r="D448" t="s">
        <v>135</v>
      </c>
      <c r="F448" t="s">
        <v>32</v>
      </c>
      <c r="G448" s="1">
        <v>41487</v>
      </c>
      <c r="H448" t="s">
        <v>33</v>
      </c>
      <c r="I448" t="s">
        <v>4303</v>
      </c>
      <c r="J448" t="s">
        <v>4303</v>
      </c>
      <c r="M448" t="s">
        <v>59</v>
      </c>
      <c r="N448" t="s">
        <v>4304</v>
      </c>
      <c r="P448" t="s">
        <v>4305</v>
      </c>
      <c r="Q448" t="s">
        <v>4306</v>
      </c>
      <c r="X448">
        <v>4431126</v>
      </c>
      <c r="Y448" t="s">
        <v>4307</v>
      </c>
      <c r="Z448" t="s">
        <v>1007</v>
      </c>
      <c r="AA448" t="s">
        <v>821</v>
      </c>
    </row>
    <row r="449" spans="1:28" x14ac:dyDescent="0.2">
      <c r="A449" t="s">
        <v>4308</v>
      </c>
      <c r="B449" t="s">
        <v>4309</v>
      </c>
      <c r="C449" t="s">
        <v>4310</v>
      </c>
      <c r="D449" t="s">
        <v>135</v>
      </c>
      <c r="F449" t="s">
        <v>32</v>
      </c>
      <c r="G449" s="1">
        <v>39448</v>
      </c>
      <c r="H449" t="s">
        <v>67</v>
      </c>
      <c r="I449" t="s">
        <v>4311</v>
      </c>
      <c r="J449" t="s">
        <v>4312</v>
      </c>
      <c r="N449" t="s">
        <v>4313</v>
      </c>
      <c r="O449" t="s">
        <v>4314</v>
      </c>
      <c r="P449" t="s">
        <v>4315</v>
      </c>
      <c r="X449">
        <v>4432291</v>
      </c>
      <c r="Y449" t="s">
        <v>4316</v>
      </c>
      <c r="Z449" t="s">
        <v>4317</v>
      </c>
      <c r="AA449" t="s">
        <v>821</v>
      </c>
    </row>
    <row r="450" spans="1:28" x14ac:dyDescent="0.2">
      <c r="A450" t="s">
        <v>4318</v>
      </c>
      <c r="B450" t="s">
        <v>4319</v>
      </c>
      <c r="C450" t="s">
        <v>4320</v>
      </c>
      <c r="D450" t="s">
        <v>31</v>
      </c>
      <c r="F450" t="s">
        <v>32</v>
      </c>
      <c r="G450" s="1">
        <v>45292</v>
      </c>
      <c r="H450" t="s">
        <v>67</v>
      </c>
      <c r="I450" t="s">
        <v>4321</v>
      </c>
      <c r="J450" t="s">
        <v>4322</v>
      </c>
      <c r="K450" t="s">
        <v>4323</v>
      </c>
      <c r="N450" t="s">
        <v>4324</v>
      </c>
      <c r="O450" t="s">
        <v>4325</v>
      </c>
      <c r="Q450" t="s">
        <v>4326</v>
      </c>
      <c r="X450">
        <v>4433904</v>
      </c>
      <c r="Y450" t="s">
        <v>4327</v>
      </c>
      <c r="Z450" t="s">
        <v>4328</v>
      </c>
      <c r="AA450" t="s">
        <v>821</v>
      </c>
    </row>
    <row r="451" spans="1:28" x14ac:dyDescent="0.2">
      <c r="A451" t="s">
        <v>4329</v>
      </c>
      <c r="B451" t="s">
        <v>4330</v>
      </c>
      <c r="C451" t="s">
        <v>4331</v>
      </c>
      <c r="D451" t="s">
        <v>135</v>
      </c>
      <c r="F451" t="s">
        <v>32</v>
      </c>
      <c r="G451" s="1">
        <v>42671</v>
      </c>
      <c r="H451" t="s">
        <v>67</v>
      </c>
      <c r="I451" t="s">
        <v>4332</v>
      </c>
      <c r="J451" t="s">
        <v>4332</v>
      </c>
      <c r="K451" t="s">
        <v>4333</v>
      </c>
      <c r="M451" t="s">
        <v>59</v>
      </c>
      <c r="N451" t="s">
        <v>4334</v>
      </c>
      <c r="O451" t="s">
        <v>4335</v>
      </c>
      <c r="P451" t="s">
        <v>4336</v>
      </c>
      <c r="Q451" t="s">
        <v>4337</v>
      </c>
      <c r="X451">
        <v>4434028</v>
      </c>
      <c r="Y451" t="s">
        <v>4338</v>
      </c>
      <c r="Z451" t="s">
        <v>1278</v>
      </c>
      <c r="AA451" t="s">
        <v>821</v>
      </c>
    </row>
    <row r="452" spans="1:28" x14ac:dyDescent="0.2">
      <c r="A452" t="s">
        <v>4339</v>
      </c>
      <c r="B452" t="s">
        <v>4340</v>
      </c>
      <c r="C452" t="s">
        <v>4341</v>
      </c>
      <c r="D452" t="s">
        <v>31</v>
      </c>
      <c r="F452" t="s">
        <v>32</v>
      </c>
      <c r="G452" s="1">
        <v>43588</v>
      </c>
      <c r="H452" t="s">
        <v>33</v>
      </c>
      <c r="I452" t="s">
        <v>4342</v>
      </c>
      <c r="J452" t="s">
        <v>4343</v>
      </c>
      <c r="K452" t="s">
        <v>4069</v>
      </c>
      <c r="M452" t="s">
        <v>59</v>
      </c>
      <c r="N452" t="s">
        <v>4344</v>
      </c>
      <c r="O452" t="s">
        <v>4071</v>
      </c>
      <c r="P452" t="s">
        <v>4345</v>
      </c>
      <c r="Q452" t="s">
        <v>4072</v>
      </c>
      <c r="X452">
        <v>4435990</v>
      </c>
      <c r="Y452" t="s">
        <v>4346</v>
      </c>
      <c r="Z452" t="s">
        <v>4074</v>
      </c>
      <c r="AA452" t="s">
        <v>821</v>
      </c>
    </row>
    <row r="453" spans="1:28" x14ac:dyDescent="0.2">
      <c r="A453" t="s">
        <v>4347</v>
      </c>
      <c r="B453" t="s">
        <v>4347</v>
      </c>
      <c r="C453" t="s">
        <v>4348</v>
      </c>
      <c r="D453" t="s">
        <v>31</v>
      </c>
      <c r="F453" t="s">
        <v>32</v>
      </c>
      <c r="G453" s="1">
        <v>43551</v>
      </c>
      <c r="H453" t="s">
        <v>91</v>
      </c>
      <c r="I453" t="s">
        <v>4349</v>
      </c>
      <c r="J453" t="s">
        <v>4350</v>
      </c>
      <c r="K453" t="s">
        <v>4351</v>
      </c>
      <c r="L453" t="s">
        <v>59</v>
      </c>
      <c r="M453" t="s">
        <v>59</v>
      </c>
      <c r="N453" t="s">
        <v>4352</v>
      </c>
      <c r="O453" t="s">
        <v>4353</v>
      </c>
      <c r="P453">
        <v>491624493453</v>
      </c>
      <c r="Q453" t="s">
        <v>4354</v>
      </c>
      <c r="S453" s="1">
        <v>45545</v>
      </c>
      <c r="X453">
        <v>79476</v>
      </c>
      <c r="Y453" t="s">
        <v>4355</v>
      </c>
      <c r="Z453" t="s">
        <v>4356</v>
      </c>
      <c r="AA453" t="s">
        <v>42</v>
      </c>
      <c r="AB453" t="s">
        <v>4357</v>
      </c>
    </row>
    <row r="454" spans="1:28" x14ac:dyDescent="0.2">
      <c r="A454" t="s">
        <v>4358</v>
      </c>
      <c r="B454" t="s">
        <v>4359</v>
      </c>
      <c r="C454" t="s">
        <v>4360</v>
      </c>
      <c r="D454" t="s">
        <v>31</v>
      </c>
      <c r="F454" t="s">
        <v>32</v>
      </c>
      <c r="G454" s="1">
        <v>41640</v>
      </c>
      <c r="H454" t="s">
        <v>33</v>
      </c>
      <c r="I454" t="s">
        <v>4361</v>
      </c>
      <c r="J454" t="s">
        <v>4361</v>
      </c>
      <c r="K454" t="s">
        <v>4362</v>
      </c>
      <c r="M454" t="s">
        <v>59</v>
      </c>
      <c r="N454" t="s">
        <v>4363</v>
      </c>
      <c r="O454" t="s">
        <v>4364</v>
      </c>
      <c r="P454" t="s">
        <v>4365</v>
      </c>
      <c r="Q454" t="s">
        <v>4366</v>
      </c>
      <c r="X454">
        <v>239268</v>
      </c>
      <c r="Y454" t="s">
        <v>688</v>
      </c>
      <c r="Z454" t="s">
        <v>4356</v>
      </c>
      <c r="AA454" t="s">
        <v>42</v>
      </c>
    </row>
    <row r="455" spans="1:28" x14ac:dyDescent="0.2">
      <c r="A455" t="s">
        <v>4367</v>
      </c>
      <c r="B455" t="s">
        <v>4368</v>
      </c>
      <c r="C455" t="s">
        <v>4369</v>
      </c>
      <c r="D455" t="s">
        <v>31</v>
      </c>
      <c r="F455" t="s">
        <v>32</v>
      </c>
      <c r="G455" s="1">
        <v>41275</v>
      </c>
      <c r="H455" t="s">
        <v>33</v>
      </c>
      <c r="I455" t="s">
        <v>4370</v>
      </c>
      <c r="J455" t="s">
        <v>4371</v>
      </c>
      <c r="K455" t="s">
        <v>4372</v>
      </c>
      <c r="M455" t="s">
        <v>59</v>
      </c>
      <c r="N455" t="s">
        <v>4373</v>
      </c>
      <c r="O455" t="s">
        <v>4374</v>
      </c>
      <c r="P455" t="s">
        <v>4375</v>
      </c>
      <c r="S455" s="1">
        <v>41640</v>
      </c>
      <c r="X455">
        <v>522041</v>
      </c>
      <c r="Y455" t="s">
        <v>4376</v>
      </c>
      <c r="Z455" t="s">
        <v>4356</v>
      </c>
      <c r="AA455" t="s">
        <v>42</v>
      </c>
      <c r="AB455" t="s">
        <v>1038</v>
      </c>
    </row>
    <row r="456" spans="1:28" x14ac:dyDescent="0.2">
      <c r="A456" t="s">
        <v>4377</v>
      </c>
      <c r="B456" t="s">
        <v>4378</v>
      </c>
      <c r="C456" t="s">
        <v>4379</v>
      </c>
      <c r="D456" t="s">
        <v>31</v>
      </c>
      <c r="F456" t="s">
        <v>32</v>
      </c>
      <c r="G456" s="1">
        <v>43466</v>
      </c>
      <c r="H456" t="s">
        <v>67</v>
      </c>
      <c r="I456" t="s">
        <v>4380</v>
      </c>
      <c r="J456" t="s">
        <v>4381</v>
      </c>
      <c r="K456" t="s">
        <v>4382</v>
      </c>
      <c r="N456" t="s">
        <v>4383</v>
      </c>
      <c r="X456">
        <v>580838</v>
      </c>
      <c r="Y456" t="s">
        <v>4384</v>
      </c>
      <c r="Z456" t="s">
        <v>4356</v>
      </c>
      <c r="AA456" t="s">
        <v>42</v>
      </c>
      <c r="AB456" t="s">
        <v>160</v>
      </c>
    </row>
    <row r="457" spans="1:28" x14ac:dyDescent="0.2">
      <c r="A457" t="s">
        <v>4385</v>
      </c>
      <c r="B457" t="s">
        <v>4386</v>
      </c>
      <c r="C457" t="s">
        <v>4387</v>
      </c>
      <c r="D457" t="s">
        <v>31</v>
      </c>
      <c r="F457" t="s">
        <v>32</v>
      </c>
      <c r="G457" s="1">
        <v>40544</v>
      </c>
      <c r="H457" t="s">
        <v>91</v>
      </c>
      <c r="I457" t="s">
        <v>4388</v>
      </c>
      <c r="J457" t="s">
        <v>4389</v>
      </c>
      <c r="K457" t="s">
        <v>4390</v>
      </c>
      <c r="M457" t="s">
        <v>59</v>
      </c>
      <c r="N457" t="s">
        <v>4391</v>
      </c>
      <c r="O457" t="s">
        <v>4392</v>
      </c>
      <c r="P457" t="s">
        <v>4393</v>
      </c>
      <c r="X457">
        <v>755468</v>
      </c>
      <c r="Y457" t="s">
        <v>4394</v>
      </c>
      <c r="Z457" t="s">
        <v>4356</v>
      </c>
      <c r="AA457" t="s">
        <v>42</v>
      </c>
      <c r="AB457" t="s">
        <v>221</v>
      </c>
    </row>
    <row r="458" spans="1:28" x14ac:dyDescent="0.2">
      <c r="A458" t="s">
        <v>4395</v>
      </c>
      <c r="B458" t="s">
        <v>4396</v>
      </c>
      <c r="C458" t="s">
        <v>4397</v>
      </c>
      <c r="D458" t="s">
        <v>31</v>
      </c>
      <c r="F458" t="s">
        <v>32</v>
      </c>
      <c r="G458" s="1">
        <v>43831</v>
      </c>
      <c r="H458" t="s">
        <v>67</v>
      </c>
      <c r="I458" t="s">
        <v>4398</v>
      </c>
      <c r="J458" t="s">
        <v>4398</v>
      </c>
      <c r="K458" t="s">
        <v>4399</v>
      </c>
      <c r="M458" t="s">
        <v>59</v>
      </c>
      <c r="N458" t="s">
        <v>4400</v>
      </c>
      <c r="O458" t="s">
        <v>4401</v>
      </c>
      <c r="P458" t="s">
        <v>4402</v>
      </c>
      <c r="Q458" t="s">
        <v>4403</v>
      </c>
      <c r="X458">
        <v>960420</v>
      </c>
      <c r="Y458" t="s">
        <v>4404</v>
      </c>
      <c r="Z458" t="s">
        <v>4356</v>
      </c>
      <c r="AA458" t="s">
        <v>42</v>
      </c>
      <c r="AB458" t="s">
        <v>4405</v>
      </c>
    </row>
    <row r="459" spans="1:28" x14ac:dyDescent="0.2">
      <c r="A459" t="s">
        <v>4406</v>
      </c>
      <c r="B459" t="s">
        <v>4407</v>
      </c>
      <c r="C459" t="s">
        <v>4408</v>
      </c>
      <c r="D459" t="s">
        <v>31</v>
      </c>
      <c r="F459" t="s">
        <v>32</v>
      </c>
      <c r="G459" s="1">
        <v>42370</v>
      </c>
      <c r="H459" t="s">
        <v>33</v>
      </c>
      <c r="I459" t="s">
        <v>4409</v>
      </c>
      <c r="J459" t="s">
        <v>4410</v>
      </c>
      <c r="K459" t="s">
        <v>4411</v>
      </c>
      <c r="N459" t="s">
        <v>4412</v>
      </c>
      <c r="O459" t="s">
        <v>4413</v>
      </c>
      <c r="P459" t="s">
        <v>4414</v>
      </c>
      <c r="X459">
        <v>975902</v>
      </c>
      <c r="Y459" t="s">
        <v>4415</v>
      </c>
      <c r="Z459" t="s">
        <v>4356</v>
      </c>
      <c r="AA459" t="s">
        <v>42</v>
      </c>
      <c r="AB459" t="s">
        <v>669</v>
      </c>
    </row>
    <row r="460" spans="1:28" x14ac:dyDescent="0.2">
      <c r="A460" t="s">
        <v>4416</v>
      </c>
      <c r="B460" t="s">
        <v>4417</v>
      </c>
      <c r="C460" t="s">
        <v>4418</v>
      </c>
      <c r="D460" t="s">
        <v>31</v>
      </c>
      <c r="F460" t="s">
        <v>32</v>
      </c>
      <c r="G460" s="1">
        <v>10228</v>
      </c>
      <c r="H460" t="s">
        <v>33</v>
      </c>
      <c r="I460" t="s">
        <v>4419</v>
      </c>
      <c r="J460" t="s">
        <v>4419</v>
      </c>
      <c r="M460" t="s">
        <v>59</v>
      </c>
      <c r="N460" t="s">
        <v>4420</v>
      </c>
      <c r="O460" t="s">
        <v>4421</v>
      </c>
      <c r="P460" t="s">
        <v>4422</v>
      </c>
      <c r="X460">
        <v>1011876</v>
      </c>
      <c r="Y460" t="s">
        <v>4423</v>
      </c>
      <c r="Z460" t="s">
        <v>4356</v>
      </c>
      <c r="AA460" t="s">
        <v>42</v>
      </c>
    </row>
    <row r="461" spans="1:28" x14ac:dyDescent="0.2">
      <c r="A461" t="s">
        <v>4424</v>
      </c>
      <c r="B461" t="s">
        <v>4425</v>
      </c>
      <c r="C461" t="s">
        <v>4426</v>
      </c>
      <c r="D461" t="s">
        <v>31</v>
      </c>
      <c r="F461" t="s">
        <v>32</v>
      </c>
      <c r="G461" s="1">
        <v>40909</v>
      </c>
      <c r="H461" t="s">
        <v>33</v>
      </c>
      <c r="I461" t="s">
        <v>4427</v>
      </c>
      <c r="J461" t="s">
        <v>4427</v>
      </c>
      <c r="K461" t="s">
        <v>4428</v>
      </c>
      <c r="N461" t="s">
        <v>4429</v>
      </c>
      <c r="O461" t="s">
        <v>4430</v>
      </c>
      <c r="P461" t="s">
        <v>4431</v>
      </c>
      <c r="X461">
        <v>1064169</v>
      </c>
      <c r="Y461" t="s">
        <v>4432</v>
      </c>
      <c r="Z461" t="s">
        <v>4356</v>
      </c>
      <c r="AA461" t="s">
        <v>42</v>
      </c>
    </row>
    <row r="462" spans="1:28" x14ac:dyDescent="0.2">
      <c r="A462" t="s">
        <v>4433</v>
      </c>
      <c r="B462" t="s">
        <v>4434</v>
      </c>
      <c r="C462" t="s">
        <v>4435</v>
      </c>
      <c r="D462" t="s">
        <v>31</v>
      </c>
      <c r="F462" t="s">
        <v>32</v>
      </c>
      <c r="G462" s="1">
        <v>21551</v>
      </c>
      <c r="H462" t="s">
        <v>91</v>
      </c>
      <c r="I462" t="s">
        <v>4436</v>
      </c>
      <c r="J462" t="s">
        <v>4437</v>
      </c>
      <c r="K462" t="s">
        <v>4438</v>
      </c>
      <c r="M462" t="s">
        <v>59</v>
      </c>
      <c r="N462" t="s">
        <v>4439</v>
      </c>
      <c r="O462" t="s">
        <v>4440</v>
      </c>
      <c r="P462" t="s">
        <v>4441</v>
      </c>
      <c r="X462">
        <v>1278723</v>
      </c>
      <c r="Y462" t="s">
        <v>150</v>
      </c>
      <c r="Z462" t="s">
        <v>4356</v>
      </c>
      <c r="AA462" t="s">
        <v>42</v>
      </c>
      <c r="AB462" t="s">
        <v>221</v>
      </c>
    </row>
    <row r="463" spans="1:28" x14ac:dyDescent="0.2">
      <c r="A463" t="s">
        <v>4442</v>
      </c>
      <c r="B463" t="s">
        <v>4443</v>
      </c>
      <c r="C463" t="s">
        <v>4444</v>
      </c>
      <c r="D463" t="s">
        <v>31</v>
      </c>
      <c r="F463" t="s">
        <v>32</v>
      </c>
      <c r="G463" s="1">
        <v>36892</v>
      </c>
      <c r="H463" t="s">
        <v>33</v>
      </c>
      <c r="I463" t="s">
        <v>4445</v>
      </c>
      <c r="J463" t="s">
        <v>4446</v>
      </c>
      <c r="K463" t="s">
        <v>4447</v>
      </c>
      <c r="N463" t="s">
        <v>4448</v>
      </c>
      <c r="O463" t="s">
        <v>4449</v>
      </c>
      <c r="P463">
        <f>49-211-758-4740</f>
        <v>-5660</v>
      </c>
      <c r="X463">
        <v>1381777</v>
      </c>
      <c r="Y463" t="s">
        <v>4450</v>
      </c>
      <c r="Z463" t="s">
        <v>4356</v>
      </c>
      <c r="AA463" t="s">
        <v>42</v>
      </c>
      <c r="AB463" t="s">
        <v>192</v>
      </c>
    </row>
    <row r="464" spans="1:28" x14ac:dyDescent="0.2">
      <c r="A464" t="s">
        <v>4451</v>
      </c>
      <c r="B464" t="s">
        <v>4452</v>
      </c>
      <c r="C464" t="s">
        <v>4453</v>
      </c>
      <c r="D464" t="s">
        <v>31</v>
      </c>
      <c r="F464" t="s">
        <v>32</v>
      </c>
      <c r="G464" s="1">
        <v>38353</v>
      </c>
      <c r="H464" t="s">
        <v>33</v>
      </c>
      <c r="I464" t="s">
        <v>4454</v>
      </c>
      <c r="J464" t="s">
        <v>4454</v>
      </c>
      <c r="K464" t="s">
        <v>4455</v>
      </c>
      <c r="N464" t="s">
        <v>4456</v>
      </c>
      <c r="O464" t="s">
        <v>4457</v>
      </c>
      <c r="P464" t="s">
        <v>4458</v>
      </c>
      <c r="X464">
        <v>1758788</v>
      </c>
      <c r="Y464" t="s">
        <v>150</v>
      </c>
      <c r="Z464" t="s">
        <v>4356</v>
      </c>
      <c r="AA464" t="s">
        <v>42</v>
      </c>
    </row>
    <row r="465" spans="1:28" x14ac:dyDescent="0.2">
      <c r="A465" t="s">
        <v>4459</v>
      </c>
      <c r="B465" t="s">
        <v>4460</v>
      </c>
      <c r="C465" t="s">
        <v>4461</v>
      </c>
      <c r="D465" t="s">
        <v>31</v>
      </c>
      <c r="F465" t="s">
        <v>32</v>
      </c>
      <c r="H465" t="s">
        <v>33</v>
      </c>
      <c r="I465" t="s">
        <v>4462</v>
      </c>
      <c r="J465" t="s">
        <v>4462</v>
      </c>
      <c r="K465" t="s">
        <v>4463</v>
      </c>
      <c r="N465" t="s">
        <v>4464</v>
      </c>
      <c r="O465" t="s">
        <v>4465</v>
      </c>
      <c r="P465">
        <f>49-211-5459-5970</f>
        <v>-11591</v>
      </c>
      <c r="X465">
        <v>1823178</v>
      </c>
      <c r="Y465" t="s">
        <v>4466</v>
      </c>
      <c r="Z465" t="s">
        <v>4356</v>
      </c>
      <c r="AA465" t="s">
        <v>42</v>
      </c>
    </row>
    <row r="466" spans="1:28" x14ac:dyDescent="0.2">
      <c r="A466" t="s">
        <v>4467</v>
      </c>
      <c r="B466" t="s">
        <v>4468</v>
      </c>
      <c r="C466" t="s">
        <v>4469</v>
      </c>
      <c r="D466" t="s">
        <v>31</v>
      </c>
      <c r="F466" t="s">
        <v>32</v>
      </c>
      <c r="G466" s="1">
        <v>17168</v>
      </c>
      <c r="H466" t="s">
        <v>33</v>
      </c>
      <c r="I466" t="s">
        <v>4470</v>
      </c>
      <c r="J466" t="s">
        <v>4471</v>
      </c>
      <c r="K466" t="s">
        <v>4472</v>
      </c>
      <c r="L466" t="s">
        <v>59</v>
      </c>
      <c r="M466" t="s">
        <v>59</v>
      </c>
      <c r="N466" t="s">
        <v>4473</v>
      </c>
      <c r="O466" t="s">
        <v>4474</v>
      </c>
      <c r="P466" t="s">
        <v>4475</v>
      </c>
      <c r="X466">
        <v>1868738</v>
      </c>
      <c r="Y466" t="s">
        <v>4476</v>
      </c>
      <c r="Z466" t="s">
        <v>4356</v>
      </c>
      <c r="AA466" t="s">
        <v>42</v>
      </c>
      <c r="AB466" t="s">
        <v>4405</v>
      </c>
    </row>
    <row r="467" spans="1:28" x14ac:dyDescent="0.2">
      <c r="A467" t="s">
        <v>4477</v>
      </c>
      <c r="B467" t="s">
        <v>4478</v>
      </c>
      <c r="C467" t="s">
        <v>4479</v>
      </c>
      <c r="D467" t="s">
        <v>31</v>
      </c>
      <c r="F467" t="s">
        <v>32</v>
      </c>
      <c r="G467" s="1">
        <v>42370</v>
      </c>
      <c r="H467" t="s">
        <v>67</v>
      </c>
      <c r="I467" t="s">
        <v>4480</v>
      </c>
      <c r="J467" t="s">
        <v>4480</v>
      </c>
      <c r="K467" t="s">
        <v>4481</v>
      </c>
      <c r="N467" t="s">
        <v>4482</v>
      </c>
      <c r="O467" t="s">
        <v>4483</v>
      </c>
      <c r="P467" t="s">
        <v>4484</v>
      </c>
      <c r="X467">
        <v>1954723</v>
      </c>
      <c r="Y467" t="s">
        <v>4485</v>
      </c>
      <c r="Z467" t="s">
        <v>4356</v>
      </c>
      <c r="AA467" t="s">
        <v>42</v>
      </c>
      <c r="AB467" t="s">
        <v>221</v>
      </c>
    </row>
    <row r="468" spans="1:28" x14ac:dyDescent="0.2">
      <c r="A468" t="s">
        <v>4486</v>
      </c>
      <c r="B468" t="s">
        <v>4487</v>
      </c>
      <c r="C468" t="s">
        <v>4488</v>
      </c>
      <c r="D468" t="s">
        <v>31</v>
      </c>
      <c r="F468" t="s">
        <v>32</v>
      </c>
      <c r="G468" s="1">
        <v>36161</v>
      </c>
      <c r="H468" t="s">
        <v>91</v>
      </c>
      <c r="I468" t="s">
        <v>4489</v>
      </c>
      <c r="J468" t="s">
        <v>4489</v>
      </c>
      <c r="K468" t="s">
        <v>4490</v>
      </c>
      <c r="N468" t="s">
        <v>4491</v>
      </c>
      <c r="O468" t="s">
        <v>4492</v>
      </c>
      <c r="P468" t="s">
        <v>4493</v>
      </c>
      <c r="Q468" t="s">
        <v>4494</v>
      </c>
      <c r="X468">
        <v>1991594</v>
      </c>
      <c r="Y468" t="s">
        <v>4495</v>
      </c>
      <c r="Z468" t="s">
        <v>4356</v>
      </c>
      <c r="AA468" t="s">
        <v>42</v>
      </c>
      <c r="AB468" t="s">
        <v>1330</v>
      </c>
    </row>
    <row r="469" spans="1:28" x14ac:dyDescent="0.2">
      <c r="A469" t="s">
        <v>4496</v>
      </c>
      <c r="B469" t="s">
        <v>4497</v>
      </c>
      <c r="C469" t="s">
        <v>4498</v>
      </c>
      <c r="D469" t="s">
        <v>31</v>
      </c>
      <c r="F469" t="s">
        <v>32</v>
      </c>
      <c r="G469" s="1">
        <v>39083</v>
      </c>
      <c r="H469" t="s">
        <v>33</v>
      </c>
      <c r="I469" t="s">
        <v>4499</v>
      </c>
      <c r="J469" t="s">
        <v>4499</v>
      </c>
      <c r="K469" t="s">
        <v>4500</v>
      </c>
      <c r="M469" t="s">
        <v>59</v>
      </c>
      <c r="N469" t="s">
        <v>4501</v>
      </c>
      <c r="O469" t="s">
        <v>4502</v>
      </c>
      <c r="P469" t="s">
        <v>4503</v>
      </c>
      <c r="X469">
        <v>2434039</v>
      </c>
      <c r="Y469" t="s">
        <v>4504</v>
      </c>
      <c r="Z469" t="s">
        <v>4356</v>
      </c>
      <c r="AA469" t="s">
        <v>42</v>
      </c>
    </row>
    <row r="470" spans="1:28" x14ac:dyDescent="0.2">
      <c r="A470" t="s">
        <v>4505</v>
      </c>
      <c r="B470" t="s">
        <v>4506</v>
      </c>
      <c r="C470" t="s">
        <v>4507</v>
      </c>
      <c r="D470" t="s">
        <v>31</v>
      </c>
      <c r="F470" t="s">
        <v>32</v>
      </c>
      <c r="G470" s="1">
        <v>17168</v>
      </c>
      <c r="H470" t="s">
        <v>33</v>
      </c>
      <c r="I470" t="s">
        <v>4508</v>
      </c>
      <c r="J470" t="s">
        <v>4508</v>
      </c>
      <c r="K470" t="s">
        <v>4509</v>
      </c>
      <c r="N470" t="s">
        <v>4510</v>
      </c>
      <c r="O470" t="s">
        <v>4511</v>
      </c>
      <c r="P470">
        <f>49-211-57-79-5-0</f>
        <v>-303</v>
      </c>
      <c r="Q470" t="s">
        <v>4512</v>
      </c>
      <c r="X470">
        <v>2486162</v>
      </c>
      <c r="Y470" t="s">
        <v>4513</v>
      </c>
      <c r="Z470" t="s">
        <v>4356</v>
      </c>
      <c r="AA470" t="s">
        <v>42</v>
      </c>
      <c r="AB470" t="s">
        <v>160</v>
      </c>
    </row>
    <row r="471" spans="1:28" x14ac:dyDescent="0.2">
      <c r="A471" t="s">
        <v>4514</v>
      </c>
      <c r="B471" t="s">
        <v>4515</v>
      </c>
      <c r="C471" t="s">
        <v>4516</v>
      </c>
      <c r="D471" t="s">
        <v>31</v>
      </c>
      <c r="F471" t="s">
        <v>32</v>
      </c>
      <c r="G471" s="1">
        <v>18629</v>
      </c>
      <c r="H471" t="s">
        <v>67</v>
      </c>
      <c r="I471" t="s">
        <v>4517</v>
      </c>
      <c r="J471" t="s">
        <v>4517</v>
      </c>
      <c r="K471" t="s">
        <v>4518</v>
      </c>
      <c r="L471" t="s">
        <v>59</v>
      </c>
      <c r="M471" t="s">
        <v>59</v>
      </c>
      <c r="N471" t="s">
        <v>4519</v>
      </c>
      <c r="O471" t="s">
        <v>4520</v>
      </c>
      <c r="P471" t="s">
        <v>4521</v>
      </c>
      <c r="X471">
        <v>2544985</v>
      </c>
      <c r="Y471" t="s">
        <v>4522</v>
      </c>
      <c r="Z471" t="s">
        <v>4356</v>
      </c>
      <c r="AA471" t="s">
        <v>42</v>
      </c>
    </row>
    <row r="472" spans="1:28" x14ac:dyDescent="0.2">
      <c r="A472" t="s">
        <v>4523</v>
      </c>
      <c r="B472" t="s">
        <v>4524</v>
      </c>
      <c r="C472" t="s">
        <v>4525</v>
      </c>
      <c r="D472" t="s">
        <v>31</v>
      </c>
      <c r="F472" t="s">
        <v>32</v>
      </c>
      <c r="G472" s="1">
        <v>33239</v>
      </c>
      <c r="H472" t="s">
        <v>33</v>
      </c>
      <c r="I472" t="s">
        <v>4526</v>
      </c>
      <c r="J472" t="s">
        <v>4526</v>
      </c>
      <c r="K472" t="s">
        <v>4527</v>
      </c>
      <c r="L472" t="s">
        <v>59</v>
      </c>
      <c r="N472" t="s">
        <v>4528</v>
      </c>
      <c r="O472" t="s">
        <v>4529</v>
      </c>
      <c r="P472" t="s">
        <v>4530</v>
      </c>
      <c r="X472">
        <v>3110073</v>
      </c>
      <c r="Y472" t="s">
        <v>4531</v>
      </c>
      <c r="Z472" t="s">
        <v>4356</v>
      </c>
      <c r="AA472" t="s">
        <v>42</v>
      </c>
      <c r="AB472" t="s">
        <v>1038</v>
      </c>
    </row>
    <row r="473" spans="1:28" x14ac:dyDescent="0.2">
      <c r="A473" t="s">
        <v>4532</v>
      </c>
      <c r="B473" t="s">
        <v>4533</v>
      </c>
      <c r="C473" t="s">
        <v>4534</v>
      </c>
      <c r="D473" t="s">
        <v>31</v>
      </c>
      <c r="F473" t="s">
        <v>32</v>
      </c>
      <c r="H473" t="s">
        <v>33</v>
      </c>
      <c r="I473" t="s">
        <v>4535</v>
      </c>
      <c r="J473" t="s">
        <v>4535</v>
      </c>
      <c r="N473" t="s">
        <v>4536</v>
      </c>
      <c r="O473" t="s">
        <v>4537</v>
      </c>
      <c r="P473" t="s">
        <v>4538</v>
      </c>
      <c r="X473">
        <v>3393890</v>
      </c>
      <c r="Y473" t="s">
        <v>4539</v>
      </c>
      <c r="Z473" t="s">
        <v>4356</v>
      </c>
      <c r="AA473" t="s">
        <v>42</v>
      </c>
    </row>
    <row r="474" spans="1:28" x14ac:dyDescent="0.2">
      <c r="A474" t="s">
        <v>4540</v>
      </c>
      <c r="B474" t="s">
        <v>4541</v>
      </c>
      <c r="C474" t="s">
        <v>4542</v>
      </c>
      <c r="D474" t="s">
        <v>135</v>
      </c>
      <c r="F474" t="s">
        <v>32</v>
      </c>
      <c r="H474" t="s">
        <v>33</v>
      </c>
      <c r="I474" t="s">
        <v>4543</v>
      </c>
      <c r="J474" t="s">
        <v>4543</v>
      </c>
      <c r="N474" t="s">
        <v>4544</v>
      </c>
      <c r="O474" t="s">
        <v>4545</v>
      </c>
      <c r="P474" t="s">
        <v>4546</v>
      </c>
      <c r="X474">
        <v>3547684</v>
      </c>
      <c r="Y474" t="s">
        <v>4547</v>
      </c>
      <c r="Z474" t="s">
        <v>4356</v>
      </c>
      <c r="AA474" t="s">
        <v>42</v>
      </c>
    </row>
    <row r="475" spans="1:28" x14ac:dyDescent="0.2">
      <c r="A475" t="s">
        <v>4548</v>
      </c>
      <c r="B475" t="s">
        <v>4548</v>
      </c>
      <c r="C475" t="s">
        <v>4549</v>
      </c>
      <c r="D475" t="s">
        <v>31</v>
      </c>
      <c r="F475" t="s">
        <v>32</v>
      </c>
      <c r="H475" t="s">
        <v>67</v>
      </c>
      <c r="I475" t="s">
        <v>4550</v>
      </c>
      <c r="J475" t="s">
        <v>4551</v>
      </c>
      <c r="K475" t="s">
        <v>4552</v>
      </c>
      <c r="N475" t="s">
        <v>4553</v>
      </c>
      <c r="O475" t="s">
        <v>4554</v>
      </c>
      <c r="X475">
        <v>3557933</v>
      </c>
      <c r="Y475" t="s">
        <v>4555</v>
      </c>
      <c r="Z475" t="s">
        <v>4356</v>
      </c>
      <c r="AA475" t="s">
        <v>42</v>
      </c>
      <c r="AB475" t="s">
        <v>221</v>
      </c>
    </row>
    <row r="476" spans="1:28" x14ac:dyDescent="0.2">
      <c r="A476" t="s">
        <v>4556</v>
      </c>
      <c r="B476" t="s">
        <v>4557</v>
      </c>
      <c r="C476" t="s">
        <v>4558</v>
      </c>
      <c r="D476" t="s">
        <v>31</v>
      </c>
      <c r="F476" t="s">
        <v>32</v>
      </c>
      <c r="G476" s="1">
        <v>45488</v>
      </c>
      <c r="H476" t="s">
        <v>67</v>
      </c>
      <c r="I476" t="s">
        <v>4559</v>
      </c>
      <c r="J476" t="s">
        <v>4560</v>
      </c>
      <c r="K476" t="s">
        <v>4561</v>
      </c>
      <c r="N476" t="s">
        <v>4562</v>
      </c>
      <c r="O476" t="s">
        <v>4563</v>
      </c>
      <c r="Q476" t="s">
        <v>4564</v>
      </c>
      <c r="X476">
        <v>3690400</v>
      </c>
      <c r="Y476" t="s">
        <v>4565</v>
      </c>
      <c r="Z476" t="s">
        <v>4356</v>
      </c>
      <c r="AA476" t="s">
        <v>42</v>
      </c>
    </row>
    <row r="477" spans="1:28" x14ac:dyDescent="0.2">
      <c r="A477" t="s">
        <v>4566</v>
      </c>
      <c r="B477" t="s">
        <v>4567</v>
      </c>
      <c r="C477" t="s">
        <v>4568</v>
      </c>
      <c r="D477" t="s">
        <v>31</v>
      </c>
      <c r="F477" t="s">
        <v>32</v>
      </c>
      <c r="G477" s="1">
        <v>40544</v>
      </c>
      <c r="H477" t="s">
        <v>33</v>
      </c>
      <c r="I477" t="s">
        <v>4569</v>
      </c>
      <c r="J477" t="s">
        <v>4570</v>
      </c>
      <c r="K477" t="s">
        <v>4571</v>
      </c>
      <c r="M477" t="s">
        <v>59</v>
      </c>
      <c r="N477" t="s">
        <v>4572</v>
      </c>
      <c r="O477" t="s">
        <v>4573</v>
      </c>
      <c r="P477" t="s">
        <v>4574</v>
      </c>
      <c r="X477">
        <v>3958441</v>
      </c>
      <c r="Y477" t="s">
        <v>4575</v>
      </c>
      <c r="Z477" t="s">
        <v>4356</v>
      </c>
      <c r="AA477" t="s">
        <v>42</v>
      </c>
      <c r="AB477" t="s">
        <v>221</v>
      </c>
    </row>
    <row r="478" spans="1:28" x14ac:dyDescent="0.2">
      <c r="A478" t="s">
        <v>4576</v>
      </c>
      <c r="B478" t="s">
        <v>4577</v>
      </c>
      <c r="C478" t="s">
        <v>4578</v>
      </c>
      <c r="D478" t="s">
        <v>31</v>
      </c>
      <c r="F478" t="s">
        <v>32</v>
      </c>
      <c r="G478" s="1">
        <v>43101</v>
      </c>
      <c r="H478" t="s">
        <v>67</v>
      </c>
      <c r="I478" t="s">
        <v>4579</v>
      </c>
      <c r="J478" t="s">
        <v>4580</v>
      </c>
      <c r="K478" t="s">
        <v>4581</v>
      </c>
      <c r="N478" t="s">
        <v>4582</v>
      </c>
      <c r="O478" t="s">
        <v>4583</v>
      </c>
      <c r="P478" t="s">
        <v>4584</v>
      </c>
      <c r="X478">
        <v>4034469</v>
      </c>
      <c r="Y478" t="s">
        <v>4585</v>
      </c>
      <c r="Z478" t="s">
        <v>4356</v>
      </c>
      <c r="AA478" t="s">
        <v>42</v>
      </c>
      <c r="AB478" t="s">
        <v>678</v>
      </c>
    </row>
    <row r="479" spans="1:28" x14ac:dyDescent="0.2">
      <c r="A479" t="s">
        <v>4586</v>
      </c>
      <c r="B479" t="s">
        <v>4587</v>
      </c>
      <c r="C479" t="s">
        <v>4588</v>
      </c>
      <c r="D479" t="s">
        <v>31</v>
      </c>
      <c r="F479" t="s">
        <v>32</v>
      </c>
      <c r="G479" s="1">
        <v>39083</v>
      </c>
      <c r="H479" t="s">
        <v>67</v>
      </c>
      <c r="I479" t="s">
        <v>4589</v>
      </c>
      <c r="J479" t="s">
        <v>4590</v>
      </c>
      <c r="K479" t="s">
        <v>4591</v>
      </c>
      <c r="N479" t="s">
        <v>4592</v>
      </c>
      <c r="O479" t="s">
        <v>4593</v>
      </c>
      <c r="P479" t="s">
        <v>4594</v>
      </c>
      <c r="X479">
        <v>4064943</v>
      </c>
      <c r="Y479" t="s">
        <v>4595</v>
      </c>
      <c r="Z479" t="s">
        <v>4356</v>
      </c>
      <c r="AA479" t="s">
        <v>42</v>
      </c>
    </row>
    <row r="480" spans="1:28" x14ac:dyDescent="0.2">
      <c r="A480" t="s">
        <v>4596</v>
      </c>
      <c r="B480" t="s">
        <v>4597</v>
      </c>
      <c r="C480" t="s">
        <v>4598</v>
      </c>
      <c r="D480" t="s">
        <v>31</v>
      </c>
      <c r="F480" t="s">
        <v>32</v>
      </c>
      <c r="H480" t="s">
        <v>91</v>
      </c>
      <c r="I480" t="s">
        <v>4599</v>
      </c>
      <c r="J480" t="s">
        <v>4600</v>
      </c>
      <c r="K480" t="s">
        <v>4601</v>
      </c>
      <c r="N480" t="s">
        <v>4602</v>
      </c>
      <c r="O480" t="s">
        <v>4603</v>
      </c>
      <c r="P480" t="s">
        <v>4604</v>
      </c>
      <c r="X480">
        <v>4263487</v>
      </c>
      <c r="Y480" t="s">
        <v>4605</v>
      </c>
      <c r="Z480" t="s">
        <v>4356</v>
      </c>
      <c r="AA480" t="s">
        <v>42</v>
      </c>
      <c r="AB480" t="s">
        <v>221</v>
      </c>
    </row>
    <row r="481" spans="1:28" x14ac:dyDescent="0.2">
      <c r="A481" t="s">
        <v>4606</v>
      </c>
      <c r="B481" t="s">
        <v>4606</v>
      </c>
      <c r="C481" t="s">
        <v>4607</v>
      </c>
      <c r="D481" t="s">
        <v>31</v>
      </c>
      <c r="F481" t="s">
        <v>32</v>
      </c>
      <c r="G481" s="1">
        <v>44927</v>
      </c>
      <c r="H481" t="s">
        <v>67</v>
      </c>
      <c r="I481" t="s">
        <v>4608</v>
      </c>
      <c r="J481" t="s">
        <v>4609</v>
      </c>
      <c r="K481" t="s">
        <v>4610</v>
      </c>
      <c r="N481" t="s">
        <v>4611</v>
      </c>
      <c r="S481" s="1">
        <v>45937</v>
      </c>
      <c r="X481">
        <v>28980</v>
      </c>
      <c r="Y481" t="s">
        <v>4612</v>
      </c>
      <c r="Z481" t="s">
        <v>4613</v>
      </c>
      <c r="AA481" t="s">
        <v>42</v>
      </c>
      <c r="AB481" t="s">
        <v>1038</v>
      </c>
    </row>
    <row r="482" spans="1:28" x14ac:dyDescent="0.2">
      <c r="A482" t="s">
        <v>4614</v>
      </c>
      <c r="B482" t="s">
        <v>4615</v>
      </c>
      <c r="C482" t="s">
        <v>4616</v>
      </c>
      <c r="D482" t="s">
        <v>31</v>
      </c>
      <c r="F482" t="s">
        <v>32</v>
      </c>
      <c r="G482" s="1">
        <v>45140</v>
      </c>
      <c r="H482" t="s">
        <v>33</v>
      </c>
      <c r="I482" t="s">
        <v>4617</v>
      </c>
      <c r="J482" t="s">
        <v>4618</v>
      </c>
      <c r="K482" t="s">
        <v>4619</v>
      </c>
      <c r="M482" t="s">
        <v>59</v>
      </c>
      <c r="N482" t="s">
        <v>4620</v>
      </c>
      <c r="O482" t="s">
        <v>4621</v>
      </c>
      <c r="P482">
        <v>4915123712351</v>
      </c>
      <c r="X482">
        <v>425745</v>
      </c>
      <c r="Y482" t="s">
        <v>4622</v>
      </c>
      <c r="Z482" t="s">
        <v>4613</v>
      </c>
      <c r="AA482" t="s">
        <v>42</v>
      </c>
      <c r="AB482" t="s">
        <v>1990</v>
      </c>
    </row>
    <row r="483" spans="1:28" x14ac:dyDescent="0.2">
      <c r="A483" t="s">
        <v>4623</v>
      </c>
      <c r="B483" t="s">
        <v>4624</v>
      </c>
      <c r="C483" t="s">
        <v>4625</v>
      </c>
      <c r="D483" t="s">
        <v>31</v>
      </c>
      <c r="F483" t="s">
        <v>32</v>
      </c>
      <c r="G483" s="1">
        <v>18629</v>
      </c>
      <c r="H483" t="s">
        <v>33</v>
      </c>
      <c r="I483" t="s">
        <v>4626</v>
      </c>
      <c r="J483" t="s">
        <v>4626</v>
      </c>
      <c r="K483" t="s">
        <v>4627</v>
      </c>
      <c r="L483" t="s">
        <v>59</v>
      </c>
      <c r="M483" t="s">
        <v>59</v>
      </c>
      <c r="N483" t="s">
        <v>4628</v>
      </c>
      <c r="O483" t="s">
        <v>4629</v>
      </c>
      <c r="P483" t="s">
        <v>4630</v>
      </c>
      <c r="Q483" t="s">
        <v>4631</v>
      </c>
      <c r="X483">
        <v>1118088</v>
      </c>
      <c r="Y483" t="s">
        <v>4632</v>
      </c>
      <c r="Z483" t="s">
        <v>4613</v>
      </c>
      <c r="AA483" t="s">
        <v>42</v>
      </c>
    </row>
    <row r="484" spans="1:28" x14ac:dyDescent="0.2">
      <c r="A484" t="s">
        <v>4633</v>
      </c>
      <c r="B484" t="s">
        <v>4634</v>
      </c>
      <c r="C484" t="s">
        <v>4635</v>
      </c>
      <c r="D484" t="s">
        <v>31</v>
      </c>
      <c r="F484" t="s">
        <v>32</v>
      </c>
      <c r="H484" t="s">
        <v>33</v>
      </c>
      <c r="I484" t="s">
        <v>4636</v>
      </c>
      <c r="J484" t="s">
        <v>4636</v>
      </c>
      <c r="K484" t="s">
        <v>4637</v>
      </c>
      <c r="N484" t="s">
        <v>4638</v>
      </c>
      <c r="O484" t="s">
        <v>4639</v>
      </c>
      <c r="P484" t="s">
        <v>4640</v>
      </c>
      <c r="X484">
        <v>2790920</v>
      </c>
      <c r="Y484" t="s">
        <v>150</v>
      </c>
      <c r="Z484" t="s">
        <v>4613</v>
      </c>
      <c r="AA484" t="s">
        <v>42</v>
      </c>
    </row>
    <row r="485" spans="1:28" x14ac:dyDescent="0.2">
      <c r="A485" t="s">
        <v>4641</v>
      </c>
      <c r="B485" t="s">
        <v>4642</v>
      </c>
      <c r="C485" t="s">
        <v>4643</v>
      </c>
      <c r="D485" t="s">
        <v>31</v>
      </c>
      <c r="F485" t="s">
        <v>32</v>
      </c>
      <c r="H485" t="s">
        <v>91</v>
      </c>
      <c r="I485" t="s">
        <v>4644</v>
      </c>
      <c r="J485" t="s">
        <v>4645</v>
      </c>
      <c r="K485" t="s">
        <v>4646</v>
      </c>
      <c r="N485" t="s">
        <v>4647</v>
      </c>
      <c r="O485" t="s">
        <v>4648</v>
      </c>
      <c r="P485" t="s">
        <v>4640</v>
      </c>
      <c r="X485">
        <v>3763558</v>
      </c>
      <c r="Y485" t="s">
        <v>4649</v>
      </c>
      <c r="Z485" t="s">
        <v>4613</v>
      </c>
      <c r="AA485" t="s">
        <v>42</v>
      </c>
      <c r="AB485" t="s">
        <v>4650</v>
      </c>
    </row>
    <row r="486" spans="1:28" x14ac:dyDescent="0.2">
      <c r="A486" t="s">
        <v>4651</v>
      </c>
      <c r="B486" t="s">
        <v>4652</v>
      </c>
      <c r="C486" t="s">
        <v>4653</v>
      </c>
      <c r="D486" t="s">
        <v>31</v>
      </c>
      <c r="F486" t="s">
        <v>32</v>
      </c>
      <c r="G486" s="1">
        <v>37622</v>
      </c>
      <c r="H486" t="s">
        <v>91</v>
      </c>
      <c r="I486" t="s">
        <v>4654</v>
      </c>
      <c r="J486" t="s">
        <v>4655</v>
      </c>
      <c r="K486" t="s">
        <v>4656</v>
      </c>
      <c r="L486" t="s">
        <v>59</v>
      </c>
      <c r="N486" t="s">
        <v>4657</v>
      </c>
      <c r="O486" t="s">
        <v>4658</v>
      </c>
      <c r="P486" t="s">
        <v>4659</v>
      </c>
      <c r="Q486" t="s">
        <v>4660</v>
      </c>
      <c r="S486" s="1">
        <v>45695</v>
      </c>
      <c r="X486">
        <v>39689</v>
      </c>
      <c r="Y486" t="s">
        <v>4661</v>
      </c>
      <c r="Z486" t="s">
        <v>4662</v>
      </c>
      <c r="AA486" t="s">
        <v>42</v>
      </c>
      <c r="AB486" t="s">
        <v>4663</v>
      </c>
    </row>
    <row r="487" spans="1:28" x14ac:dyDescent="0.2">
      <c r="A487" t="s">
        <v>4664</v>
      </c>
      <c r="B487" t="s">
        <v>4664</v>
      </c>
      <c r="C487" t="s">
        <v>4665</v>
      </c>
      <c r="D487" t="s">
        <v>31</v>
      </c>
      <c r="F487" t="s">
        <v>32</v>
      </c>
      <c r="G487" s="1">
        <v>41275</v>
      </c>
      <c r="H487" t="s">
        <v>91</v>
      </c>
      <c r="I487" t="s">
        <v>4666</v>
      </c>
      <c r="J487" t="s">
        <v>4667</v>
      </c>
      <c r="K487" t="s">
        <v>4668</v>
      </c>
      <c r="L487" t="s">
        <v>59</v>
      </c>
      <c r="N487" t="s">
        <v>4669</v>
      </c>
      <c r="O487" t="s">
        <v>4670</v>
      </c>
      <c r="P487" t="s">
        <v>4671</v>
      </c>
      <c r="Q487" t="s">
        <v>4672</v>
      </c>
      <c r="X487">
        <v>291669</v>
      </c>
      <c r="Y487" t="s">
        <v>4673</v>
      </c>
      <c r="Z487" t="s">
        <v>4662</v>
      </c>
      <c r="AA487" t="s">
        <v>42</v>
      </c>
      <c r="AB487" t="s">
        <v>4674</v>
      </c>
    </row>
    <row r="488" spans="1:28" x14ac:dyDescent="0.2">
      <c r="A488" t="s">
        <v>4675</v>
      </c>
      <c r="B488" t="s">
        <v>4676</v>
      </c>
      <c r="C488" t="s">
        <v>4677</v>
      </c>
      <c r="D488" t="s">
        <v>31</v>
      </c>
      <c r="F488" t="s">
        <v>32</v>
      </c>
      <c r="G488" s="1">
        <v>39083</v>
      </c>
      <c r="H488" t="s">
        <v>91</v>
      </c>
      <c r="I488" t="s">
        <v>4678</v>
      </c>
      <c r="J488" t="s">
        <v>4678</v>
      </c>
      <c r="K488" t="s">
        <v>4679</v>
      </c>
      <c r="N488" t="s">
        <v>4680</v>
      </c>
      <c r="O488" t="s">
        <v>4681</v>
      </c>
      <c r="P488" t="s">
        <v>4682</v>
      </c>
      <c r="X488">
        <v>530798</v>
      </c>
      <c r="Y488" t="s">
        <v>4683</v>
      </c>
      <c r="Z488" t="s">
        <v>4662</v>
      </c>
      <c r="AA488" t="s">
        <v>42</v>
      </c>
      <c r="AB488" t="s">
        <v>221</v>
      </c>
    </row>
    <row r="489" spans="1:28" x14ac:dyDescent="0.2">
      <c r="A489" t="s">
        <v>4684</v>
      </c>
      <c r="B489" t="s">
        <v>4685</v>
      </c>
      <c r="C489" t="s">
        <v>4686</v>
      </c>
      <c r="D489" t="s">
        <v>31</v>
      </c>
      <c r="F489" t="s">
        <v>32</v>
      </c>
      <c r="G489" s="1">
        <v>44927</v>
      </c>
      <c r="H489" t="s">
        <v>67</v>
      </c>
      <c r="I489" t="s">
        <v>4687</v>
      </c>
      <c r="J489" t="s">
        <v>4687</v>
      </c>
      <c r="N489" t="s">
        <v>4688</v>
      </c>
      <c r="S489" s="1">
        <v>45108</v>
      </c>
      <c r="X489">
        <v>627225</v>
      </c>
      <c r="Y489" t="s">
        <v>906</v>
      </c>
      <c r="Z489" t="s">
        <v>4662</v>
      </c>
      <c r="AA489" t="s">
        <v>42</v>
      </c>
      <c r="AB489" t="s">
        <v>221</v>
      </c>
    </row>
    <row r="490" spans="1:28" x14ac:dyDescent="0.2">
      <c r="A490" t="s">
        <v>4689</v>
      </c>
      <c r="B490" t="s">
        <v>4690</v>
      </c>
      <c r="C490" t="s">
        <v>4691</v>
      </c>
      <c r="D490" t="s">
        <v>31</v>
      </c>
      <c r="F490" t="s">
        <v>32</v>
      </c>
      <c r="G490" s="1">
        <v>33604</v>
      </c>
      <c r="H490" t="s">
        <v>67</v>
      </c>
      <c r="I490" t="s">
        <v>4692</v>
      </c>
      <c r="J490" t="s">
        <v>4693</v>
      </c>
      <c r="K490" t="s">
        <v>4694</v>
      </c>
      <c r="N490" t="s">
        <v>4695</v>
      </c>
      <c r="O490" t="s">
        <v>4696</v>
      </c>
      <c r="P490" t="s">
        <v>4697</v>
      </c>
      <c r="X490">
        <v>3249208</v>
      </c>
      <c r="Y490" t="s">
        <v>4698</v>
      </c>
      <c r="Z490" t="s">
        <v>4662</v>
      </c>
      <c r="AA490" t="s">
        <v>42</v>
      </c>
    </row>
    <row r="491" spans="1:28" x14ac:dyDescent="0.2">
      <c r="A491" t="s">
        <v>4699</v>
      </c>
      <c r="B491" t="s">
        <v>4700</v>
      </c>
      <c r="C491" t="s">
        <v>4701</v>
      </c>
      <c r="D491" t="s">
        <v>31</v>
      </c>
      <c r="F491" t="s">
        <v>32</v>
      </c>
      <c r="G491" s="1">
        <v>37987</v>
      </c>
      <c r="H491" t="s">
        <v>33</v>
      </c>
      <c r="I491" t="s">
        <v>4702</v>
      </c>
      <c r="J491" t="s">
        <v>4702</v>
      </c>
      <c r="K491" t="s">
        <v>4703</v>
      </c>
      <c r="M491" t="s">
        <v>59</v>
      </c>
      <c r="N491" t="s">
        <v>4704</v>
      </c>
      <c r="O491" t="s">
        <v>4705</v>
      </c>
      <c r="P491" t="s">
        <v>4706</v>
      </c>
      <c r="X491">
        <v>1771623</v>
      </c>
      <c r="Y491" t="s">
        <v>4707</v>
      </c>
      <c r="Z491" t="s">
        <v>4708</v>
      </c>
      <c r="AA491" t="s">
        <v>42</v>
      </c>
    </row>
    <row r="492" spans="1:28" x14ac:dyDescent="0.2">
      <c r="A492" t="s">
        <v>4709</v>
      </c>
      <c r="B492" t="s">
        <v>4710</v>
      </c>
      <c r="C492" t="s">
        <v>4711</v>
      </c>
      <c r="D492" t="s">
        <v>31</v>
      </c>
      <c r="F492" t="s">
        <v>32</v>
      </c>
      <c r="H492" t="s">
        <v>67</v>
      </c>
      <c r="I492" t="s">
        <v>4712</v>
      </c>
      <c r="J492" t="s">
        <v>4712</v>
      </c>
      <c r="K492" t="s">
        <v>4713</v>
      </c>
      <c r="M492" t="s">
        <v>59</v>
      </c>
      <c r="N492" t="s">
        <v>4714</v>
      </c>
      <c r="O492" t="s">
        <v>4715</v>
      </c>
      <c r="P492" t="s">
        <v>4716</v>
      </c>
      <c r="X492">
        <v>1842591</v>
      </c>
      <c r="Y492" t="s">
        <v>150</v>
      </c>
      <c r="Z492" t="s">
        <v>4708</v>
      </c>
      <c r="AA492" t="s">
        <v>42</v>
      </c>
      <c r="AB492" t="s">
        <v>678</v>
      </c>
    </row>
    <row r="493" spans="1:28" x14ac:dyDescent="0.2">
      <c r="A493" t="s">
        <v>4717</v>
      </c>
      <c r="B493" t="s">
        <v>4718</v>
      </c>
      <c r="C493" t="s">
        <v>4719</v>
      </c>
      <c r="D493" t="s">
        <v>31</v>
      </c>
      <c r="F493" t="s">
        <v>32</v>
      </c>
      <c r="G493" t="s">
        <v>4720</v>
      </c>
      <c r="H493" t="s">
        <v>33</v>
      </c>
      <c r="I493" t="s">
        <v>4721</v>
      </c>
      <c r="J493" t="s">
        <v>4721</v>
      </c>
      <c r="K493" t="s">
        <v>4722</v>
      </c>
      <c r="L493" t="s">
        <v>59</v>
      </c>
      <c r="M493" t="s">
        <v>59</v>
      </c>
      <c r="N493" t="s">
        <v>4723</v>
      </c>
      <c r="O493" t="s">
        <v>4724</v>
      </c>
      <c r="P493" t="s">
        <v>4725</v>
      </c>
      <c r="Q493" t="s">
        <v>4726</v>
      </c>
      <c r="X493">
        <v>2000901</v>
      </c>
      <c r="Y493" t="s">
        <v>4727</v>
      </c>
      <c r="Z493" t="s">
        <v>4708</v>
      </c>
      <c r="AA493" t="s">
        <v>42</v>
      </c>
      <c r="AB493" t="s">
        <v>4728</v>
      </c>
    </row>
    <row r="494" spans="1:28" x14ac:dyDescent="0.2">
      <c r="A494" t="s">
        <v>4729</v>
      </c>
      <c r="B494" t="s">
        <v>4730</v>
      </c>
      <c r="C494" t="s">
        <v>4731</v>
      </c>
      <c r="D494" t="s">
        <v>31</v>
      </c>
      <c r="F494" t="s">
        <v>32</v>
      </c>
      <c r="G494" s="1">
        <v>35065</v>
      </c>
      <c r="H494" t="s">
        <v>33</v>
      </c>
      <c r="I494" t="s">
        <v>4732</v>
      </c>
      <c r="J494" t="s">
        <v>4732</v>
      </c>
      <c r="K494" t="s">
        <v>4733</v>
      </c>
      <c r="N494" t="s">
        <v>4734</v>
      </c>
      <c r="O494" t="s">
        <v>4735</v>
      </c>
      <c r="P494" t="s">
        <v>4736</v>
      </c>
      <c r="X494">
        <v>2067961</v>
      </c>
      <c r="Y494" t="s">
        <v>431</v>
      </c>
      <c r="Z494" t="s">
        <v>4708</v>
      </c>
      <c r="AA494" t="s">
        <v>42</v>
      </c>
    </row>
    <row r="495" spans="1:28" x14ac:dyDescent="0.2">
      <c r="A495" t="s">
        <v>4737</v>
      </c>
      <c r="B495" t="s">
        <v>4738</v>
      </c>
      <c r="C495" t="s">
        <v>4739</v>
      </c>
      <c r="D495" t="s">
        <v>31</v>
      </c>
      <c r="F495" t="s">
        <v>32</v>
      </c>
      <c r="G495" t="s">
        <v>4740</v>
      </c>
      <c r="H495" t="s">
        <v>33</v>
      </c>
      <c r="I495" t="s">
        <v>4741</v>
      </c>
      <c r="J495" t="s">
        <v>4741</v>
      </c>
      <c r="K495" t="s">
        <v>4742</v>
      </c>
      <c r="M495" t="s">
        <v>59</v>
      </c>
      <c r="N495" t="s">
        <v>4743</v>
      </c>
      <c r="O495" t="s">
        <v>4744</v>
      </c>
      <c r="P495">
        <f>49-911-424-3680</f>
        <v>-4966</v>
      </c>
      <c r="Q495" t="s">
        <v>4745</v>
      </c>
      <c r="X495">
        <v>2746365</v>
      </c>
      <c r="Y495" t="s">
        <v>4746</v>
      </c>
      <c r="Z495" t="s">
        <v>4708</v>
      </c>
      <c r="AA495" t="s">
        <v>42</v>
      </c>
    </row>
    <row r="496" spans="1:28" x14ac:dyDescent="0.2">
      <c r="A496" t="s">
        <v>4747</v>
      </c>
      <c r="B496" t="s">
        <v>4748</v>
      </c>
      <c r="C496" t="s">
        <v>4749</v>
      </c>
      <c r="D496" t="s">
        <v>31</v>
      </c>
      <c r="F496" t="s">
        <v>32</v>
      </c>
      <c r="H496" t="s">
        <v>33</v>
      </c>
      <c r="I496" t="s">
        <v>4750</v>
      </c>
      <c r="J496" t="s">
        <v>4750</v>
      </c>
      <c r="K496" t="s">
        <v>4751</v>
      </c>
      <c r="M496" t="s">
        <v>59</v>
      </c>
      <c r="N496" t="s">
        <v>4752</v>
      </c>
      <c r="O496" t="s">
        <v>4753</v>
      </c>
      <c r="P496" t="s">
        <v>4754</v>
      </c>
      <c r="X496">
        <v>2879976</v>
      </c>
      <c r="Y496" t="s">
        <v>4755</v>
      </c>
      <c r="Z496" t="s">
        <v>4708</v>
      </c>
      <c r="AA496" t="s">
        <v>42</v>
      </c>
    </row>
    <row r="497" spans="1:28" x14ac:dyDescent="0.2">
      <c r="A497" t="s">
        <v>4756</v>
      </c>
      <c r="B497" t="s">
        <v>4757</v>
      </c>
      <c r="C497" t="s">
        <v>4758</v>
      </c>
      <c r="D497" t="s">
        <v>31</v>
      </c>
      <c r="F497" t="s">
        <v>32</v>
      </c>
      <c r="G497" s="1">
        <v>42736</v>
      </c>
      <c r="H497" t="s">
        <v>91</v>
      </c>
      <c r="I497" t="s">
        <v>4759</v>
      </c>
      <c r="J497" t="s">
        <v>4760</v>
      </c>
      <c r="K497" t="s">
        <v>4761</v>
      </c>
      <c r="L497" t="s">
        <v>59</v>
      </c>
      <c r="M497" t="s">
        <v>59</v>
      </c>
      <c r="N497" t="s">
        <v>4762</v>
      </c>
      <c r="O497" t="s">
        <v>4763</v>
      </c>
      <c r="P497" t="s">
        <v>4764</v>
      </c>
      <c r="Q497" t="s">
        <v>4765</v>
      </c>
      <c r="S497" s="1">
        <v>44970</v>
      </c>
      <c r="X497">
        <v>81254</v>
      </c>
      <c r="Y497" t="s">
        <v>4766</v>
      </c>
      <c r="Z497" t="s">
        <v>4767</v>
      </c>
      <c r="AA497" t="s">
        <v>42</v>
      </c>
      <c r="AB497" t="s">
        <v>1626</v>
      </c>
    </row>
    <row r="498" spans="1:28" x14ac:dyDescent="0.2">
      <c r="A498" t="s">
        <v>4768</v>
      </c>
      <c r="B498" t="s">
        <v>4769</v>
      </c>
      <c r="C498" t="s">
        <v>4770</v>
      </c>
      <c r="D498" t="s">
        <v>31</v>
      </c>
      <c r="F498" t="s">
        <v>32</v>
      </c>
      <c r="G498" s="1">
        <v>34335</v>
      </c>
      <c r="H498" t="s">
        <v>33</v>
      </c>
      <c r="I498" t="s">
        <v>4771</v>
      </c>
      <c r="J498" t="s">
        <v>4771</v>
      </c>
      <c r="K498" t="s">
        <v>4772</v>
      </c>
      <c r="M498" t="s">
        <v>59</v>
      </c>
      <c r="N498" t="s">
        <v>4773</v>
      </c>
      <c r="O498" t="s">
        <v>4774</v>
      </c>
      <c r="P498" t="s">
        <v>4775</v>
      </c>
      <c r="X498">
        <v>365684</v>
      </c>
      <c r="Y498" t="s">
        <v>2988</v>
      </c>
      <c r="Z498" t="s">
        <v>4767</v>
      </c>
      <c r="AA498" t="s">
        <v>42</v>
      </c>
      <c r="AB498" t="s">
        <v>4776</v>
      </c>
    </row>
    <row r="499" spans="1:28" x14ac:dyDescent="0.2">
      <c r="A499" t="s">
        <v>4777</v>
      </c>
      <c r="B499" t="s">
        <v>4778</v>
      </c>
      <c r="C499" t="s">
        <v>4779</v>
      </c>
      <c r="D499" t="s">
        <v>31</v>
      </c>
      <c r="F499" t="s">
        <v>32</v>
      </c>
      <c r="G499" s="1">
        <v>37622</v>
      </c>
      <c r="H499" t="s">
        <v>33</v>
      </c>
      <c r="I499" t="s">
        <v>4780</v>
      </c>
      <c r="J499" t="s">
        <v>4781</v>
      </c>
      <c r="K499" t="s">
        <v>4782</v>
      </c>
      <c r="L499" t="s">
        <v>59</v>
      </c>
      <c r="N499" t="s">
        <v>4783</v>
      </c>
      <c r="O499" t="s">
        <v>4784</v>
      </c>
      <c r="P499" t="s">
        <v>4785</v>
      </c>
      <c r="X499">
        <v>920669</v>
      </c>
      <c r="Y499" t="s">
        <v>4786</v>
      </c>
      <c r="Z499" t="s">
        <v>4767</v>
      </c>
      <c r="AA499" t="s">
        <v>42</v>
      </c>
    </row>
    <row r="500" spans="1:28" x14ac:dyDescent="0.2">
      <c r="A500" t="s">
        <v>4787</v>
      </c>
      <c r="B500" t="s">
        <v>4788</v>
      </c>
      <c r="C500" t="s">
        <v>4789</v>
      </c>
      <c r="D500" t="s">
        <v>31</v>
      </c>
      <c r="F500" t="s">
        <v>32</v>
      </c>
      <c r="G500" s="1">
        <v>31413</v>
      </c>
      <c r="H500" t="s">
        <v>33</v>
      </c>
      <c r="I500" t="s">
        <v>4790</v>
      </c>
      <c r="J500" t="s">
        <v>4790</v>
      </c>
      <c r="K500" t="s">
        <v>4791</v>
      </c>
      <c r="N500" t="s">
        <v>4792</v>
      </c>
      <c r="O500" t="s">
        <v>4793</v>
      </c>
      <c r="P500" t="s">
        <v>4794</v>
      </c>
      <c r="Q500" t="s">
        <v>4795</v>
      </c>
      <c r="X500">
        <v>1050513</v>
      </c>
      <c r="Y500" t="s">
        <v>4796</v>
      </c>
      <c r="Z500" t="s">
        <v>4767</v>
      </c>
      <c r="AA500" t="s">
        <v>42</v>
      </c>
      <c r="AB500" t="s">
        <v>3913</v>
      </c>
    </row>
    <row r="501" spans="1:28" x14ac:dyDescent="0.2">
      <c r="A501" t="s">
        <v>4797</v>
      </c>
      <c r="B501" t="s">
        <v>4798</v>
      </c>
      <c r="C501" t="s">
        <v>4799</v>
      </c>
      <c r="D501" t="s">
        <v>31</v>
      </c>
      <c r="F501" t="s">
        <v>32</v>
      </c>
      <c r="G501" s="1">
        <v>36526</v>
      </c>
      <c r="H501" t="s">
        <v>33</v>
      </c>
      <c r="I501" t="s">
        <v>4800</v>
      </c>
      <c r="J501" t="s">
        <v>4800</v>
      </c>
      <c r="K501" t="s">
        <v>4801</v>
      </c>
      <c r="N501" t="s">
        <v>4802</v>
      </c>
      <c r="O501" t="s">
        <v>4803</v>
      </c>
      <c r="P501" t="s">
        <v>4804</v>
      </c>
      <c r="X501">
        <v>1309226</v>
      </c>
      <c r="Y501" t="s">
        <v>4805</v>
      </c>
      <c r="Z501" t="s">
        <v>4767</v>
      </c>
      <c r="AA501" t="s">
        <v>42</v>
      </c>
    </row>
    <row r="502" spans="1:28" x14ac:dyDescent="0.2">
      <c r="A502" t="s">
        <v>4806</v>
      </c>
      <c r="B502" t="s">
        <v>4807</v>
      </c>
      <c r="C502" t="s">
        <v>4808</v>
      </c>
      <c r="D502" t="s">
        <v>31</v>
      </c>
      <c r="F502" t="s">
        <v>32</v>
      </c>
      <c r="G502" s="1">
        <v>43831</v>
      </c>
      <c r="H502" t="s">
        <v>33</v>
      </c>
      <c r="I502" t="s">
        <v>4809</v>
      </c>
      <c r="J502" t="s">
        <v>4810</v>
      </c>
      <c r="K502" t="s">
        <v>4811</v>
      </c>
      <c r="N502" t="s">
        <v>4812</v>
      </c>
      <c r="O502" t="s">
        <v>4813</v>
      </c>
      <c r="P502" t="s">
        <v>4814</v>
      </c>
      <c r="X502">
        <v>1380216</v>
      </c>
      <c r="Y502" t="s">
        <v>4815</v>
      </c>
      <c r="Z502" t="s">
        <v>4767</v>
      </c>
      <c r="AA502" t="s">
        <v>42</v>
      </c>
      <c r="AB502" t="s">
        <v>160</v>
      </c>
    </row>
    <row r="503" spans="1:28" x14ac:dyDescent="0.2">
      <c r="A503" t="s">
        <v>4816</v>
      </c>
      <c r="B503" t="s">
        <v>4817</v>
      </c>
      <c r="C503" s="2" t="s">
        <v>4818</v>
      </c>
      <c r="D503" t="s">
        <v>31</v>
      </c>
      <c r="F503" t="s">
        <v>32</v>
      </c>
      <c r="G503" s="1">
        <v>44197</v>
      </c>
      <c r="H503" t="s">
        <v>67</v>
      </c>
      <c r="I503" t="s">
        <v>4819</v>
      </c>
      <c r="J503" t="s">
        <v>4820</v>
      </c>
      <c r="N503" t="s">
        <v>4821</v>
      </c>
      <c r="O503" t="s">
        <v>4822</v>
      </c>
      <c r="X503">
        <v>2460113</v>
      </c>
      <c r="Y503" t="s">
        <v>4394</v>
      </c>
      <c r="Z503" t="s">
        <v>4767</v>
      </c>
      <c r="AA503" t="s">
        <v>42</v>
      </c>
    </row>
    <row r="504" spans="1:28" x14ac:dyDescent="0.2">
      <c r="A504" t="s">
        <v>4823</v>
      </c>
      <c r="B504" t="s">
        <v>4824</v>
      </c>
      <c r="C504" t="s">
        <v>4825</v>
      </c>
      <c r="D504" t="s">
        <v>31</v>
      </c>
      <c r="F504" t="s">
        <v>32</v>
      </c>
      <c r="H504" t="s">
        <v>67</v>
      </c>
      <c r="I504" t="s">
        <v>4826</v>
      </c>
      <c r="J504" t="s">
        <v>4827</v>
      </c>
      <c r="K504" t="s">
        <v>4828</v>
      </c>
      <c r="N504" t="s">
        <v>4829</v>
      </c>
      <c r="O504" t="s">
        <v>4830</v>
      </c>
      <c r="P504" t="s">
        <v>4831</v>
      </c>
      <c r="X504">
        <v>4172094</v>
      </c>
      <c r="Y504" t="s">
        <v>4832</v>
      </c>
      <c r="Z504" t="s">
        <v>4767</v>
      </c>
      <c r="AA504" t="s">
        <v>42</v>
      </c>
      <c r="AB504" t="s">
        <v>221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crunchbase-export-1779521932372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Abhay Kumar Choudhary</dc:creator>
  <cp:lastModifiedBy>Abhay Kumar Choudhary</cp:lastModifiedBy>
  <dcterms:created xsi:type="dcterms:W3CDTF">2026-05-23T07:43:21Z</dcterms:created>
  <dcterms:modified xsi:type="dcterms:W3CDTF">2026-05-23T08:17:59Z</dcterms:modified>
</cp:coreProperties>
</file>